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9D522DC4-3775-4669-A1BF-83F3F5C72D0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3" i="1" l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2" i="1"/>
  <c r="BN18" i="1"/>
  <c r="BN19" i="1"/>
  <c r="BN25" i="1"/>
  <c r="BN30" i="1"/>
  <c r="BN31" i="1"/>
  <c r="BN37" i="1"/>
  <c r="BN42" i="1"/>
  <c r="BN43" i="1"/>
  <c r="BN46" i="1"/>
  <c r="BN49" i="1"/>
  <c r="BN54" i="1"/>
  <c r="BN55" i="1"/>
  <c r="BN58" i="1"/>
  <c r="BN61" i="1"/>
  <c r="BN66" i="1"/>
  <c r="BN67" i="1"/>
  <c r="BN70" i="1"/>
  <c r="BN73" i="1"/>
  <c r="BN78" i="1"/>
  <c r="BN79" i="1"/>
  <c r="BN82" i="1"/>
  <c r="BN85" i="1"/>
  <c r="BN90" i="1"/>
  <c r="BN91" i="1"/>
  <c r="BN94" i="1"/>
  <c r="BN97" i="1"/>
  <c r="BN102" i="1"/>
  <c r="BN103" i="1"/>
  <c r="BN106" i="1"/>
  <c r="BN109" i="1"/>
  <c r="BN114" i="1"/>
  <c r="BN115" i="1"/>
  <c r="BN118" i="1"/>
  <c r="BN121" i="1"/>
  <c r="BN126" i="1"/>
  <c r="BN127" i="1"/>
  <c r="BN130" i="1"/>
  <c r="BN133" i="1"/>
  <c r="BN138" i="1"/>
  <c r="BN139" i="1"/>
  <c r="BN142" i="1"/>
  <c r="BN145" i="1"/>
  <c r="BN150" i="1"/>
  <c r="BN151" i="1"/>
  <c r="BN152" i="1"/>
  <c r="BN154" i="1"/>
  <c r="BN157" i="1"/>
  <c r="BN162" i="1"/>
  <c r="BN163" i="1"/>
  <c r="BN164" i="1"/>
  <c r="BN166" i="1"/>
  <c r="BN169" i="1"/>
  <c r="BN174" i="1"/>
  <c r="BN175" i="1"/>
  <c r="BN176" i="1"/>
  <c r="BN178" i="1"/>
  <c r="BN181" i="1"/>
  <c r="BN186" i="1"/>
  <c r="BN187" i="1"/>
  <c r="BN188" i="1"/>
  <c r="BN190" i="1"/>
  <c r="BN2" i="1"/>
  <c r="BM3" i="1"/>
  <c r="BN3" i="1" s="1"/>
  <c r="BM4" i="1"/>
  <c r="BN4" i="1" s="1"/>
  <c r="BM5" i="1"/>
  <c r="BN5" i="1" s="1"/>
  <c r="BM6" i="1"/>
  <c r="BN6" i="1" s="1"/>
  <c r="BM7" i="1"/>
  <c r="BN7" i="1" s="1"/>
  <c r="BM8" i="1"/>
  <c r="BN8" i="1" s="1"/>
  <c r="BM9" i="1"/>
  <c r="BN9" i="1" s="1"/>
  <c r="BM10" i="1"/>
  <c r="BN10" i="1" s="1"/>
  <c r="BM11" i="1"/>
  <c r="BN11" i="1" s="1"/>
  <c r="BM12" i="1"/>
  <c r="BN12" i="1" s="1"/>
  <c r="BM13" i="1"/>
  <c r="BN13" i="1" s="1"/>
  <c r="BM14" i="1"/>
  <c r="BN14" i="1" s="1"/>
  <c r="BM15" i="1"/>
  <c r="BN15" i="1" s="1"/>
  <c r="BM16" i="1"/>
  <c r="BN16" i="1" s="1"/>
  <c r="BM17" i="1"/>
  <c r="BN17" i="1" s="1"/>
  <c r="BM18" i="1"/>
  <c r="BM19" i="1"/>
  <c r="BM20" i="1"/>
  <c r="BN20" i="1" s="1"/>
  <c r="BM21" i="1"/>
  <c r="BN21" i="1" s="1"/>
  <c r="BM22" i="1"/>
  <c r="BN22" i="1" s="1"/>
  <c r="BM23" i="1"/>
  <c r="BN23" i="1" s="1"/>
  <c r="BM24" i="1"/>
  <c r="BN24" i="1" s="1"/>
  <c r="BM25" i="1"/>
  <c r="BM26" i="1"/>
  <c r="BN26" i="1" s="1"/>
  <c r="BM27" i="1"/>
  <c r="BN27" i="1" s="1"/>
  <c r="BM28" i="1"/>
  <c r="BN28" i="1" s="1"/>
  <c r="BM29" i="1"/>
  <c r="BN29" i="1" s="1"/>
  <c r="BM30" i="1"/>
  <c r="BM31" i="1"/>
  <c r="BM32" i="1"/>
  <c r="BN32" i="1" s="1"/>
  <c r="BM33" i="1"/>
  <c r="BN33" i="1" s="1"/>
  <c r="BM34" i="1"/>
  <c r="BN34" i="1" s="1"/>
  <c r="BM35" i="1"/>
  <c r="BN35" i="1" s="1"/>
  <c r="BM36" i="1"/>
  <c r="BN36" i="1" s="1"/>
  <c r="BM37" i="1"/>
  <c r="BM38" i="1"/>
  <c r="BN38" i="1" s="1"/>
  <c r="BM39" i="1"/>
  <c r="BN39" i="1" s="1"/>
  <c r="BM40" i="1"/>
  <c r="BN40" i="1" s="1"/>
  <c r="BM41" i="1"/>
  <c r="BN41" i="1" s="1"/>
  <c r="BM42" i="1"/>
  <c r="BM43" i="1"/>
  <c r="BM44" i="1"/>
  <c r="BN44" i="1" s="1"/>
  <c r="BM45" i="1"/>
  <c r="BN45" i="1" s="1"/>
  <c r="BM46" i="1"/>
  <c r="BM47" i="1"/>
  <c r="BN47" i="1" s="1"/>
  <c r="BM48" i="1"/>
  <c r="BN48" i="1" s="1"/>
  <c r="BM49" i="1"/>
  <c r="BM50" i="1"/>
  <c r="BN50" i="1" s="1"/>
  <c r="BM51" i="1"/>
  <c r="BN51" i="1" s="1"/>
  <c r="BM52" i="1"/>
  <c r="BN52" i="1" s="1"/>
  <c r="BM53" i="1"/>
  <c r="BN53" i="1" s="1"/>
  <c r="BM54" i="1"/>
  <c r="BM55" i="1"/>
  <c r="BM56" i="1"/>
  <c r="BN56" i="1" s="1"/>
  <c r="BM57" i="1"/>
  <c r="BN57" i="1" s="1"/>
  <c r="BM58" i="1"/>
  <c r="BM59" i="1"/>
  <c r="BN59" i="1" s="1"/>
  <c r="BM60" i="1"/>
  <c r="BN60" i="1" s="1"/>
  <c r="BM61" i="1"/>
  <c r="BM62" i="1"/>
  <c r="BN62" i="1" s="1"/>
  <c r="BM63" i="1"/>
  <c r="BN63" i="1" s="1"/>
  <c r="BM64" i="1"/>
  <c r="BN64" i="1" s="1"/>
  <c r="BM65" i="1"/>
  <c r="BN65" i="1" s="1"/>
  <c r="BM66" i="1"/>
  <c r="BM67" i="1"/>
  <c r="BM68" i="1"/>
  <c r="BN68" i="1" s="1"/>
  <c r="BM69" i="1"/>
  <c r="BN69" i="1" s="1"/>
  <c r="BM70" i="1"/>
  <c r="BM71" i="1"/>
  <c r="BN71" i="1" s="1"/>
  <c r="BM72" i="1"/>
  <c r="BN72" i="1" s="1"/>
  <c r="BM73" i="1"/>
  <c r="BM74" i="1"/>
  <c r="BN74" i="1" s="1"/>
  <c r="BM75" i="1"/>
  <c r="BN75" i="1" s="1"/>
  <c r="BM76" i="1"/>
  <c r="BN76" i="1" s="1"/>
  <c r="BM77" i="1"/>
  <c r="BN77" i="1" s="1"/>
  <c r="BM78" i="1"/>
  <c r="BM79" i="1"/>
  <c r="BM80" i="1"/>
  <c r="BN80" i="1" s="1"/>
  <c r="BM81" i="1"/>
  <c r="BN81" i="1" s="1"/>
  <c r="BM82" i="1"/>
  <c r="BM83" i="1"/>
  <c r="BN83" i="1" s="1"/>
  <c r="BM84" i="1"/>
  <c r="BN84" i="1" s="1"/>
  <c r="BM85" i="1"/>
  <c r="BM86" i="1"/>
  <c r="BN86" i="1" s="1"/>
  <c r="BM87" i="1"/>
  <c r="BN87" i="1" s="1"/>
  <c r="BM88" i="1"/>
  <c r="BN88" i="1" s="1"/>
  <c r="BM89" i="1"/>
  <c r="BN89" i="1" s="1"/>
  <c r="BM90" i="1"/>
  <c r="BM91" i="1"/>
  <c r="BM92" i="1"/>
  <c r="BN92" i="1" s="1"/>
  <c r="BM93" i="1"/>
  <c r="BN93" i="1" s="1"/>
  <c r="BM94" i="1"/>
  <c r="BM95" i="1"/>
  <c r="BN95" i="1" s="1"/>
  <c r="BM96" i="1"/>
  <c r="BN96" i="1" s="1"/>
  <c r="BM97" i="1"/>
  <c r="BM98" i="1"/>
  <c r="BN98" i="1" s="1"/>
  <c r="BM99" i="1"/>
  <c r="BN99" i="1" s="1"/>
  <c r="BM100" i="1"/>
  <c r="BN100" i="1" s="1"/>
  <c r="BM101" i="1"/>
  <c r="BN101" i="1" s="1"/>
  <c r="BM102" i="1"/>
  <c r="BM103" i="1"/>
  <c r="BM104" i="1"/>
  <c r="BN104" i="1" s="1"/>
  <c r="BM105" i="1"/>
  <c r="BN105" i="1" s="1"/>
  <c r="BM106" i="1"/>
  <c r="BM107" i="1"/>
  <c r="BN107" i="1" s="1"/>
  <c r="BM108" i="1"/>
  <c r="BN108" i="1" s="1"/>
  <c r="BM109" i="1"/>
  <c r="BM110" i="1"/>
  <c r="BN110" i="1" s="1"/>
  <c r="BM111" i="1"/>
  <c r="BN111" i="1" s="1"/>
  <c r="BM112" i="1"/>
  <c r="BN112" i="1" s="1"/>
  <c r="BM113" i="1"/>
  <c r="BN113" i="1" s="1"/>
  <c r="BM114" i="1"/>
  <c r="BM115" i="1"/>
  <c r="BM116" i="1"/>
  <c r="BN116" i="1" s="1"/>
  <c r="BM117" i="1"/>
  <c r="BN117" i="1" s="1"/>
  <c r="BM118" i="1"/>
  <c r="BM119" i="1"/>
  <c r="BN119" i="1" s="1"/>
  <c r="BM120" i="1"/>
  <c r="BN120" i="1" s="1"/>
  <c r="BM121" i="1"/>
  <c r="BM122" i="1"/>
  <c r="BN122" i="1" s="1"/>
  <c r="BM123" i="1"/>
  <c r="BN123" i="1" s="1"/>
  <c r="BM124" i="1"/>
  <c r="BN124" i="1" s="1"/>
  <c r="BM125" i="1"/>
  <c r="BN125" i="1" s="1"/>
  <c r="BM126" i="1"/>
  <c r="BM127" i="1"/>
  <c r="BM128" i="1"/>
  <c r="BN128" i="1" s="1"/>
  <c r="BM129" i="1"/>
  <c r="BN129" i="1" s="1"/>
  <c r="BM130" i="1"/>
  <c r="BM131" i="1"/>
  <c r="BN131" i="1" s="1"/>
  <c r="BM132" i="1"/>
  <c r="BN132" i="1" s="1"/>
  <c r="BM133" i="1"/>
  <c r="BM134" i="1"/>
  <c r="BN134" i="1" s="1"/>
  <c r="BM135" i="1"/>
  <c r="BN135" i="1" s="1"/>
  <c r="BM136" i="1"/>
  <c r="BN136" i="1" s="1"/>
  <c r="BM137" i="1"/>
  <c r="BN137" i="1" s="1"/>
  <c r="BM138" i="1"/>
  <c r="BM139" i="1"/>
  <c r="BM140" i="1"/>
  <c r="BN140" i="1" s="1"/>
  <c r="BM141" i="1"/>
  <c r="BN141" i="1" s="1"/>
  <c r="BM142" i="1"/>
  <c r="BM143" i="1"/>
  <c r="BN143" i="1" s="1"/>
  <c r="BM144" i="1"/>
  <c r="BN144" i="1" s="1"/>
  <c r="BM145" i="1"/>
  <c r="BM146" i="1"/>
  <c r="BN146" i="1" s="1"/>
  <c r="BM147" i="1"/>
  <c r="BN147" i="1" s="1"/>
  <c r="BM148" i="1"/>
  <c r="BN148" i="1" s="1"/>
  <c r="BM149" i="1"/>
  <c r="BN149" i="1" s="1"/>
  <c r="BM150" i="1"/>
  <c r="BM151" i="1"/>
  <c r="BM152" i="1"/>
  <c r="BM153" i="1"/>
  <c r="BN153" i="1" s="1"/>
  <c r="BM154" i="1"/>
  <c r="BM155" i="1"/>
  <c r="BN155" i="1" s="1"/>
  <c r="BM156" i="1"/>
  <c r="BN156" i="1" s="1"/>
  <c r="BM157" i="1"/>
  <c r="BM158" i="1"/>
  <c r="BN158" i="1" s="1"/>
  <c r="BM159" i="1"/>
  <c r="BN159" i="1" s="1"/>
  <c r="BM160" i="1"/>
  <c r="BN160" i="1" s="1"/>
  <c r="BM161" i="1"/>
  <c r="BN161" i="1" s="1"/>
  <c r="BM162" i="1"/>
  <c r="BM163" i="1"/>
  <c r="BM164" i="1"/>
  <c r="BM165" i="1"/>
  <c r="BN165" i="1" s="1"/>
  <c r="BM166" i="1"/>
  <c r="BM167" i="1"/>
  <c r="BN167" i="1" s="1"/>
  <c r="BM168" i="1"/>
  <c r="BN168" i="1" s="1"/>
  <c r="BM169" i="1"/>
  <c r="BM170" i="1"/>
  <c r="BN170" i="1" s="1"/>
  <c r="BM171" i="1"/>
  <c r="BN171" i="1" s="1"/>
  <c r="BM172" i="1"/>
  <c r="BN172" i="1" s="1"/>
  <c r="BM173" i="1"/>
  <c r="BN173" i="1" s="1"/>
  <c r="BM174" i="1"/>
  <c r="BM175" i="1"/>
  <c r="BM176" i="1"/>
  <c r="BM177" i="1"/>
  <c r="BN177" i="1" s="1"/>
  <c r="BM178" i="1"/>
  <c r="BM179" i="1"/>
  <c r="BN179" i="1" s="1"/>
  <c r="BM180" i="1"/>
  <c r="BN180" i="1" s="1"/>
  <c r="BM181" i="1"/>
  <c r="BM182" i="1"/>
  <c r="BN182" i="1" s="1"/>
  <c r="BM183" i="1"/>
  <c r="BN183" i="1" s="1"/>
  <c r="BM184" i="1"/>
  <c r="BN184" i="1" s="1"/>
  <c r="BM185" i="1"/>
  <c r="BN185" i="1" s="1"/>
  <c r="BM186" i="1"/>
  <c r="BM187" i="1"/>
  <c r="BM188" i="1"/>
  <c r="BM189" i="1"/>
  <c r="BN189" i="1" s="1"/>
  <c r="BM190" i="1"/>
  <c r="BM191" i="1"/>
  <c r="BN191" i="1" s="1"/>
  <c r="BM192" i="1"/>
  <c r="BN192" i="1" s="1"/>
  <c r="BM2" i="1"/>
</calcChain>
</file>

<file path=xl/sharedStrings.xml><?xml version="1.0" encoding="utf-8"?>
<sst xmlns="http://schemas.openxmlformats.org/spreadsheetml/2006/main" count="451" uniqueCount="451">
  <si>
    <t>NSO_DON_name</t>
  </si>
  <si>
    <t>Country</t>
  </si>
  <si>
    <t>KPI_PeopleVol_Tot</t>
  </si>
  <si>
    <t>KPI_PeopleVol_Tot_IP</t>
  </si>
  <si>
    <t>KPI_PeopleVol_both</t>
  </si>
  <si>
    <t>KPI_PStaff_Tot</t>
  </si>
  <si>
    <t>KPI_PStaff_Tot_IP</t>
  </si>
  <si>
    <t>KPI_PStaff_both</t>
  </si>
  <si>
    <t>KPI_IncomeLC_CHF</t>
  </si>
  <si>
    <t>KPI_IncomeLC_CHF_IP</t>
  </si>
  <si>
    <t>KPI_IncomeLC_CHF_both</t>
  </si>
  <si>
    <t>KPI_expenditureLC_CHF</t>
  </si>
  <si>
    <t>KPI_expenditureLC_CHF_IP</t>
  </si>
  <si>
    <t>KPI_expenditureLC_CHF_both</t>
  </si>
  <si>
    <t>KPI_ReachDRER_CPD</t>
  </si>
  <si>
    <t>KPI_ReachDRER_CPD_IP</t>
  </si>
  <si>
    <t>KPI_ReachDRER_CPD_both</t>
  </si>
  <si>
    <t>KPI_ReachLTSPD_CPD</t>
  </si>
  <si>
    <t>KPI_ReachLTSPD_CPD_IP</t>
  </si>
  <si>
    <t>KPI_ReachLTSPD_CPD_both</t>
  </si>
  <si>
    <t>KPI_ReachDRR_CPD</t>
  </si>
  <si>
    <t>KPI_ReachDRR_CPD_IP</t>
  </si>
  <si>
    <t>KPI_ReachDRR_CPD_both</t>
  </si>
  <si>
    <t>KPI_TrainFA_Tot</t>
  </si>
  <si>
    <t>KPI_TrainFA_Tot_IP</t>
  </si>
  <si>
    <t>KPI_TrainFA_both</t>
  </si>
  <si>
    <t>KPI_ReachS_CPD</t>
  </si>
  <si>
    <t>KPI_ReachS_CPD_IP</t>
  </si>
  <si>
    <t>KPI_ReachS_CPD_both</t>
  </si>
  <si>
    <t>KPI_ReachL_CPD</t>
  </si>
  <si>
    <t>KPI_ReachL_CPD_IP</t>
  </si>
  <si>
    <t>KPI_ReachL_CPD_both</t>
  </si>
  <si>
    <t>KPI_Climate_CPD</t>
  </si>
  <si>
    <t>KPI_Climate_CPD_IP</t>
  </si>
  <si>
    <t>KPI_Climate_CPD_both</t>
  </si>
  <si>
    <t>KPI_ClimateHeat_CPD</t>
  </si>
  <si>
    <t>KPI_ClimateHeat_CPD_IP</t>
  </si>
  <si>
    <t>KPI_ClimateHeat_CPD_both</t>
  </si>
  <si>
    <t>KPI_ReachCTP_CPD</t>
  </si>
  <si>
    <t>KPI_ReachCTP_CPD_IP</t>
  </si>
  <si>
    <t>KPI_ReachCTP_CPD_both</t>
  </si>
  <si>
    <t>KPI_ReachH_CPD</t>
  </si>
  <si>
    <t>KPI_ReachH_CPD_IP</t>
  </si>
  <si>
    <t>KPI_ReachH_CPD_both</t>
  </si>
  <si>
    <t>KPI_ReachHPM_CPD</t>
  </si>
  <si>
    <t>KPI_ReachHPM_CPD_IP</t>
  </si>
  <si>
    <t>KPI_ReachHPM_CPD_both</t>
  </si>
  <si>
    <t>KPI_ReachHI_CPD</t>
  </si>
  <si>
    <t>KPI_ReachHI_CPD_IP</t>
  </si>
  <si>
    <t>KPI_ReachHI_CPD_both</t>
  </si>
  <si>
    <t>KPI_ReachWASH_CPD</t>
  </si>
  <si>
    <t>KPI_ReachWASH_CPD_IP</t>
  </si>
  <si>
    <t>KPI_ReachWASH_CPD_both</t>
  </si>
  <si>
    <t>KPI_ReachM_CPD</t>
  </si>
  <si>
    <t>KPI_ReachM_CPD_IP</t>
  </si>
  <si>
    <t>KPI_ReachM_CPD_both</t>
  </si>
  <si>
    <t>KPI_ReachSI_CPD</t>
  </si>
  <si>
    <t>KPI_ReachSI_CPD_IP</t>
  </si>
  <si>
    <t>KPI_ReachSI_CPD_both</t>
  </si>
  <si>
    <t>KPI_ReachRCRCEd_CPD</t>
  </si>
  <si>
    <t>KPI_ReachRCRCEd_CPD_IP</t>
  </si>
  <si>
    <t>KPI_ReachRCRCEd_CPD_both</t>
  </si>
  <si>
    <t>Andorran Red Cross</t>
  </si>
  <si>
    <t>Andorra</t>
  </si>
  <si>
    <t>Red Crescent Society of the United Arab Emirates</t>
  </si>
  <si>
    <t>United Arab Emirates</t>
  </si>
  <si>
    <t>Afghan Red Crescent</t>
  </si>
  <si>
    <t>Afghanistan</t>
  </si>
  <si>
    <t>Antigua and Barbuda Red Cross</t>
  </si>
  <si>
    <t>Antigua and Barbuda</t>
  </si>
  <si>
    <t>Albanian Red Cross</t>
  </si>
  <si>
    <t>Albania</t>
  </si>
  <si>
    <t>Armenian Red Cross Society</t>
  </si>
  <si>
    <t>Armenia</t>
  </si>
  <si>
    <t>Angola Red Cross</t>
  </si>
  <si>
    <t>Angola</t>
  </si>
  <si>
    <t>Argentine Red Cross</t>
  </si>
  <si>
    <t>Argentina</t>
  </si>
  <si>
    <t>Austrian Red Cross</t>
  </si>
  <si>
    <t>Austria</t>
  </si>
  <si>
    <t>Australian Red Cross</t>
  </si>
  <si>
    <t>Australia</t>
  </si>
  <si>
    <t>Red Crescent Society of Azerbaijan</t>
  </si>
  <si>
    <t>Azerbaijan</t>
  </si>
  <si>
    <t>Red Cross Society of Bosnia and Herzegovina</t>
  </si>
  <si>
    <t>Bosnia and Herzegovina</t>
  </si>
  <si>
    <t>The Barbados Red Cross Society</t>
  </si>
  <si>
    <t>Barbados</t>
  </si>
  <si>
    <t>Bangladesh Red Crescent Society</t>
  </si>
  <si>
    <t>Bangladesh</t>
  </si>
  <si>
    <t>Belgian Red Cross</t>
  </si>
  <si>
    <t>Belgium</t>
  </si>
  <si>
    <t>Burkinabe Red Cross Society</t>
  </si>
  <si>
    <t>Burkina Faso</t>
  </si>
  <si>
    <t>Bulgarian Red Cross</t>
  </si>
  <si>
    <t>Bulgaria</t>
  </si>
  <si>
    <t>Bahrain Red Crescent Society</t>
  </si>
  <si>
    <t>Bahrain</t>
  </si>
  <si>
    <t>Burundi Red Cross</t>
  </si>
  <si>
    <t>Burundi</t>
  </si>
  <si>
    <t>Red Cross of Benin</t>
  </si>
  <si>
    <t>Benin</t>
  </si>
  <si>
    <t>Brunei Darussalam Red Crescent Society</t>
  </si>
  <si>
    <t>Brunei Darussalam</t>
  </si>
  <si>
    <t>Bolivian Red Cross</t>
  </si>
  <si>
    <t>Bolivia, Plurinational State of</t>
  </si>
  <si>
    <t>Brazilian Red Cross</t>
  </si>
  <si>
    <t>Brazil</t>
  </si>
  <si>
    <t>The Bahamas Red Cross Society</t>
  </si>
  <si>
    <t>Bahamas</t>
  </si>
  <si>
    <t>Bhutan Red Cross Society</t>
  </si>
  <si>
    <t>Bhutan</t>
  </si>
  <si>
    <t>Botswana Red Cross Society</t>
  </si>
  <si>
    <t>Botswana</t>
  </si>
  <si>
    <t>Belarus Red Cross</t>
  </si>
  <si>
    <t>Belarus</t>
  </si>
  <si>
    <t>Belize Red Cross Society</t>
  </si>
  <si>
    <t>Belize</t>
  </si>
  <si>
    <t>Canadian Red Cross Society</t>
  </si>
  <si>
    <t>Canada</t>
  </si>
  <si>
    <t>Red Cross of the Democratic Republic of the Congo</t>
  </si>
  <si>
    <t>Congo, the Democratic Republic of the</t>
  </si>
  <si>
    <t>Central African Red Cross Society</t>
  </si>
  <si>
    <t>Central African Republic</t>
  </si>
  <si>
    <t>Congolese Red Cross</t>
  </si>
  <si>
    <t>Congo</t>
  </si>
  <si>
    <t>Swiss Red Cross</t>
  </si>
  <si>
    <t>Switzerland</t>
  </si>
  <si>
    <t>Red Cross Society of Côte d'Ivoire</t>
  </si>
  <si>
    <t>Côte d'Ivoire</t>
  </si>
  <si>
    <t>Cook Islands Red Cross Society</t>
  </si>
  <si>
    <t>Cook Islands</t>
  </si>
  <si>
    <t>Chilean Red Cross</t>
  </si>
  <si>
    <t>Chile</t>
  </si>
  <si>
    <t>Cameroon Red Cross Society</t>
  </si>
  <si>
    <t>Cameroon</t>
  </si>
  <si>
    <t>Red Cross Society of China</t>
  </si>
  <si>
    <t>China</t>
  </si>
  <si>
    <t>Colombian Red Cross Society</t>
  </si>
  <si>
    <t>Colombia</t>
  </si>
  <si>
    <t>Costa Rican Red Cross</t>
  </si>
  <si>
    <t>Costa Rica</t>
  </si>
  <si>
    <t>Cuban Red Cross</t>
  </si>
  <si>
    <t>Cuba</t>
  </si>
  <si>
    <t>Red Cross of Cape Verde</t>
  </si>
  <si>
    <t>Cape Verde</t>
  </si>
  <si>
    <t>Cyprus Red Cross Society</t>
  </si>
  <si>
    <t>Cyprus</t>
  </si>
  <si>
    <t>Czech Red Cross</t>
  </si>
  <si>
    <t>Czech Republic</t>
  </si>
  <si>
    <t>German Red Cross</t>
  </si>
  <si>
    <t>Germany</t>
  </si>
  <si>
    <t>Red Crescent Society of Djibouti</t>
  </si>
  <si>
    <t>Djibouti</t>
  </si>
  <si>
    <t>Danish Red Cross</t>
  </si>
  <si>
    <t>Denmark</t>
  </si>
  <si>
    <t>Dominica Red Cross Society</t>
  </si>
  <si>
    <t>Dominica</t>
  </si>
  <si>
    <t>Dominican Red Cross</t>
  </si>
  <si>
    <t>Dominican Republic</t>
  </si>
  <si>
    <t>Algerian Red Crescent</t>
  </si>
  <si>
    <t>Algeria</t>
  </si>
  <si>
    <t>Ecuadorian Red Cross</t>
  </si>
  <si>
    <t>Ecuador</t>
  </si>
  <si>
    <t>Estonian Red Cross</t>
  </si>
  <si>
    <t>Estonia</t>
  </si>
  <si>
    <t>Egyptian Red Crescent Society</t>
  </si>
  <si>
    <t>Egypt</t>
  </si>
  <si>
    <t>Spanish Red Cross</t>
  </si>
  <si>
    <t>Spain</t>
  </si>
  <si>
    <t>Ethiopian Red Cross Society</t>
  </si>
  <si>
    <t>Ethiopia</t>
  </si>
  <si>
    <t>Finnish Red Cross</t>
  </si>
  <si>
    <t>Finland</t>
  </si>
  <si>
    <t>Fiji Red Cross Society</t>
  </si>
  <si>
    <t>Fiji</t>
  </si>
  <si>
    <t>Micronesia Red Cross</t>
  </si>
  <si>
    <t>Micronesia, Federated States of</t>
  </si>
  <si>
    <t>French Red Cross</t>
  </si>
  <si>
    <t>France</t>
  </si>
  <si>
    <t>Gabonese Red Cross Society</t>
  </si>
  <si>
    <t>Gabon</t>
  </si>
  <si>
    <t>British Red Cross</t>
  </si>
  <si>
    <t>United Kingdom</t>
  </si>
  <si>
    <t>Grenada Red Cross Society</t>
  </si>
  <si>
    <t>Grenada</t>
  </si>
  <si>
    <t>Red Cross Society of Georgia</t>
  </si>
  <si>
    <t>Georgia</t>
  </si>
  <si>
    <t>Ghana Red Cross Society</t>
  </si>
  <si>
    <t>Ghana</t>
  </si>
  <si>
    <t>Gambia Red Cross Society</t>
  </si>
  <si>
    <t>Gambia</t>
  </si>
  <si>
    <t>Red Cross Society of Guinea</t>
  </si>
  <si>
    <t>Guinea</t>
  </si>
  <si>
    <t>Red Cross of Equatorial Guinea</t>
  </si>
  <si>
    <t>Equatorial Guinea</t>
  </si>
  <si>
    <t>Hellenic Red Cross</t>
  </si>
  <si>
    <t>Greece</t>
  </si>
  <si>
    <t>Guatemalan Red Cross</t>
  </si>
  <si>
    <t>Guatemala</t>
  </si>
  <si>
    <t>Red Cross Society of Guinea-Bissau</t>
  </si>
  <si>
    <t>Guinea-Bissau</t>
  </si>
  <si>
    <t>Guyana Red Cross Society</t>
  </si>
  <si>
    <t>Guyana</t>
  </si>
  <si>
    <t>Honduran Red Cross</t>
  </si>
  <si>
    <t>Honduras</t>
  </si>
  <si>
    <t>Croatian Red Cross</t>
  </si>
  <si>
    <t>Croatia</t>
  </si>
  <si>
    <t>Haiti Red Cross Society</t>
  </si>
  <si>
    <t>Haiti</t>
  </si>
  <si>
    <t>Hungarian Red Cross</t>
  </si>
  <si>
    <t>Hungary</t>
  </si>
  <si>
    <t>Indonesian Red Cross Society</t>
  </si>
  <si>
    <t>Indonesia</t>
  </si>
  <si>
    <t>Irish Red Cross Society</t>
  </si>
  <si>
    <t>Ireland</t>
  </si>
  <si>
    <t>Magen David Adom in Israel</t>
  </si>
  <si>
    <t>Israel</t>
  </si>
  <si>
    <t>Indian Red Cross Society</t>
  </si>
  <si>
    <t>India</t>
  </si>
  <si>
    <t>Iraqi Red Crescent Society</t>
  </si>
  <si>
    <t>Iraq</t>
  </si>
  <si>
    <t>Red Crescent Society of the Islamic Republic of Iran</t>
  </si>
  <si>
    <t>Iran, Islamic Republic of</t>
  </si>
  <si>
    <t>Icelandic Red Cross</t>
  </si>
  <si>
    <t>Iceland</t>
  </si>
  <si>
    <t>Italian Red Cross</t>
  </si>
  <si>
    <t>Italy</t>
  </si>
  <si>
    <t>Jamaica Red Cross</t>
  </si>
  <si>
    <t>Jamaica</t>
  </si>
  <si>
    <t>Jordan National Red Crescent Society</t>
  </si>
  <si>
    <t>Jordan</t>
  </si>
  <si>
    <t>Japanese Red Cross Society</t>
  </si>
  <si>
    <t>Japan</t>
  </si>
  <si>
    <t>Kenya Red Cross Society</t>
  </si>
  <si>
    <t>Kenya</t>
  </si>
  <si>
    <t>Red Crescent Society of Kyrgyzstan</t>
  </si>
  <si>
    <t>Kyrgyzstan</t>
  </si>
  <si>
    <t>Cambodian Red Cross Society</t>
  </si>
  <si>
    <t>Cambodia</t>
  </si>
  <si>
    <t>Kiribati Red Cross Society</t>
  </si>
  <si>
    <t>Kiribati</t>
  </si>
  <si>
    <t>The Comoros Red Crescent</t>
  </si>
  <si>
    <t>Comoros</t>
  </si>
  <si>
    <t>Saint Kitts and Nevis Red Cross Society</t>
  </si>
  <si>
    <t>Saint Kitts and Nevis</t>
  </si>
  <si>
    <t>Red Cross Society of the Democratic People's Republic of Korea</t>
  </si>
  <si>
    <t>Korea, Democratic People's Republic of</t>
  </si>
  <si>
    <t>The Republic of Korea National Red Cross</t>
  </si>
  <si>
    <t>Korea, Republic of</t>
  </si>
  <si>
    <t>Kuwait Red Crescent Society</t>
  </si>
  <si>
    <t>Kuwait</t>
  </si>
  <si>
    <t>Red Crescent Society of the Republic of Kazakhstan</t>
  </si>
  <si>
    <t>Kazakhstan</t>
  </si>
  <si>
    <t>Lao Red Cross</t>
  </si>
  <si>
    <t>Lao People's Democratic Republic</t>
  </si>
  <si>
    <t>Lebanese Red Cross</t>
  </si>
  <si>
    <t>Lebanon</t>
  </si>
  <si>
    <t>Saint Lucia Red Cross</t>
  </si>
  <si>
    <t>Saint Lucia</t>
  </si>
  <si>
    <t>Liechtenstein Red Cross</t>
  </si>
  <si>
    <t>Liechtenstein</t>
  </si>
  <si>
    <t>Sri Lanka Red Cross Society</t>
  </si>
  <si>
    <t>Sri Lanka</t>
  </si>
  <si>
    <t>Liberian Red Cross Society</t>
  </si>
  <si>
    <t>Liberia</t>
  </si>
  <si>
    <t>Lesotho Red Cross Society</t>
  </si>
  <si>
    <t>Lesotho</t>
  </si>
  <si>
    <t>Lithuanian Red Cross Society</t>
  </si>
  <si>
    <t>Lithuania</t>
  </si>
  <si>
    <t>Luxembourg Red Cross</t>
  </si>
  <si>
    <t>Luxembourg</t>
  </si>
  <si>
    <t>Latvian Red Cross</t>
  </si>
  <si>
    <t>Latvia</t>
  </si>
  <si>
    <t>Libyan Red Crescent</t>
  </si>
  <si>
    <t>Libya</t>
  </si>
  <si>
    <t>Moroccan Red Crescent</t>
  </si>
  <si>
    <t>Morocco</t>
  </si>
  <si>
    <t>Red Cross of Monaco</t>
  </si>
  <si>
    <t>Monaco</t>
  </si>
  <si>
    <t>Red Cross Society of the Republic of Moldova</t>
  </si>
  <si>
    <t>Moldova, Republic of</t>
  </si>
  <si>
    <t>Red Cross of Montenegro</t>
  </si>
  <si>
    <t>Montenegro</t>
  </si>
  <si>
    <t>Malagasy Red Cross Society</t>
  </si>
  <si>
    <t>Madagascar</t>
  </si>
  <si>
    <t>Marshall Islands Red Cross Society</t>
  </si>
  <si>
    <t>Marshall Islands</t>
  </si>
  <si>
    <t>Red Cross of The Republic of North Macedonia</t>
  </si>
  <si>
    <t>North Macedonia</t>
  </si>
  <si>
    <t>Mali Red Cross</t>
  </si>
  <si>
    <t>Mali</t>
  </si>
  <si>
    <t>Myanmar Red Cross Society</t>
  </si>
  <si>
    <t>Myanmar</t>
  </si>
  <si>
    <t>Mongolian Red Cross Society</t>
  </si>
  <si>
    <t>Mongolia</t>
  </si>
  <si>
    <t>Mauritanian Red Crescent</t>
  </si>
  <si>
    <t>Mauritania</t>
  </si>
  <si>
    <t>Malta Red Cross Society</t>
  </si>
  <si>
    <t>Malta</t>
  </si>
  <si>
    <t>Mauritius Red Cross Society</t>
  </si>
  <si>
    <t>Mauritius</t>
  </si>
  <si>
    <t>Maldivian Red Crescent</t>
  </si>
  <si>
    <t>Maldives</t>
  </si>
  <si>
    <t>Malawi Red Cross Society</t>
  </si>
  <si>
    <t>Malawi</t>
  </si>
  <si>
    <t>Mexican Red Cross</t>
  </si>
  <si>
    <t>Mexico</t>
  </si>
  <si>
    <t>Malaysian Red Crescent Society</t>
  </si>
  <si>
    <t>Malaysia</t>
  </si>
  <si>
    <t>Mozambique Red Cross Society</t>
  </si>
  <si>
    <t>Mozambique</t>
  </si>
  <si>
    <t>Namibia Red Cross</t>
  </si>
  <si>
    <t>Namibia</t>
  </si>
  <si>
    <t>Red Cross Society of Niger</t>
  </si>
  <si>
    <t>Niger</t>
  </si>
  <si>
    <t>Nigerian Red Cross Society</t>
  </si>
  <si>
    <t>Nigeria</t>
  </si>
  <si>
    <t>Nicaraguan Red Cross</t>
  </si>
  <si>
    <t>Nicaragua</t>
  </si>
  <si>
    <t>The Netherlands Red Cross</t>
  </si>
  <si>
    <t>Netherlands</t>
  </si>
  <si>
    <t>Norwegian Red Cross</t>
  </si>
  <si>
    <t>Norway</t>
  </si>
  <si>
    <t>Nepal Red Cross Society</t>
  </si>
  <si>
    <t>Nepal</t>
  </si>
  <si>
    <t>New Zealand Red Cross</t>
  </si>
  <si>
    <t>New Zealand</t>
  </si>
  <si>
    <t>Red Cross Society of Panama</t>
  </si>
  <si>
    <t>Panama</t>
  </si>
  <si>
    <t>Peruvian Red Cross</t>
  </si>
  <si>
    <t>Peru</t>
  </si>
  <si>
    <t>Papua New Guinea Red Cross Society</t>
  </si>
  <si>
    <t>Papua New Guinea</t>
  </si>
  <si>
    <t>Philippine Red Cross</t>
  </si>
  <si>
    <t>Philippines</t>
  </si>
  <si>
    <t>Pakistan Red Crescent</t>
  </si>
  <si>
    <t>Pakistan</t>
  </si>
  <si>
    <t>Polish Red Cross</t>
  </si>
  <si>
    <t>Poland</t>
  </si>
  <si>
    <t>Palestine Red Crescent Society</t>
  </si>
  <si>
    <t>Palestine, State of</t>
  </si>
  <si>
    <t>Portuguese Red Cross</t>
  </si>
  <si>
    <t>Portugal</t>
  </si>
  <si>
    <t>Palau Red Cross Society</t>
  </si>
  <si>
    <t>Palau</t>
  </si>
  <si>
    <t>Paraguayan Red Cross</t>
  </si>
  <si>
    <t>Paraguay</t>
  </si>
  <si>
    <t>Qatar Red Crescent Society</t>
  </si>
  <si>
    <t>Qatar</t>
  </si>
  <si>
    <t>Romanian Red Cross</t>
  </si>
  <si>
    <t>Romania</t>
  </si>
  <si>
    <t>Red Cross of Serbia</t>
  </si>
  <si>
    <t>Serbia</t>
  </si>
  <si>
    <t>Russian Red Cross</t>
  </si>
  <si>
    <t>Russian Federation</t>
  </si>
  <si>
    <t>Rwandan Red Cross</t>
  </si>
  <si>
    <t>Rwanda</t>
  </si>
  <si>
    <t>Saudi Red Crescent Authority</t>
  </si>
  <si>
    <t>Saudi Arabia</t>
  </si>
  <si>
    <t>The Solomon Islands Red Cross</t>
  </si>
  <si>
    <t>Solomon Islands</t>
  </si>
  <si>
    <t>Seychelles Red Cross Society</t>
  </si>
  <si>
    <t>Seychelles</t>
  </si>
  <si>
    <t>Sudanese Red Crescent</t>
  </si>
  <si>
    <t>Sudan</t>
  </si>
  <si>
    <t>Swedish Red Cross</t>
  </si>
  <si>
    <t>Sweden</t>
  </si>
  <si>
    <t>Singapore Red Cross Society</t>
  </si>
  <si>
    <t>Singapore</t>
  </si>
  <si>
    <t>Slovenian Red Cross</t>
  </si>
  <si>
    <t>Slovenia</t>
  </si>
  <si>
    <t>Slovak Red Cross</t>
  </si>
  <si>
    <t>Slovakia</t>
  </si>
  <si>
    <t>Sierra Leone Red Cross Society</t>
  </si>
  <si>
    <t>Sierra Leone</t>
  </si>
  <si>
    <t>Red Cross of the Republic of San Marino</t>
  </si>
  <si>
    <t>San Marino</t>
  </si>
  <si>
    <t>Senegalese Red Cross Society</t>
  </si>
  <si>
    <t>Senegal</t>
  </si>
  <si>
    <t>Somali Red Crescent Society</t>
  </si>
  <si>
    <t>Somalia</t>
  </si>
  <si>
    <t>Suriname Red Cross</t>
  </si>
  <si>
    <t>Suriname</t>
  </si>
  <si>
    <t>South Sudan Red Cross</t>
  </si>
  <si>
    <t>South Sudan</t>
  </si>
  <si>
    <t>Sao Tome and Principe Red Cross</t>
  </si>
  <si>
    <t>Sao Tome and Principe</t>
  </si>
  <si>
    <t>Salvadorean Red Cross Society</t>
  </si>
  <si>
    <t>El Salvador</t>
  </si>
  <si>
    <t>Syrian Arab Red Crescent</t>
  </si>
  <si>
    <t>Syrian Arab Republic</t>
  </si>
  <si>
    <t>Baphalali Eswatini Red Cross Society</t>
  </si>
  <si>
    <t>Eswatini, the Kingdom of</t>
  </si>
  <si>
    <t>Red Cross of Chad</t>
  </si>
  <si>
    <t>Chad</t>
  </si>
  <si>
    <t>Togolese Red Cross</t>
  </si>
  <si>
    <t>Togo</t>
  </si>
  <si>
    <t>Thai Red Cross Society</t>
  </si>
  <si>
    <t>Thailand</t>
  </si>
  <si>
    <t>Red Crescent Society of Tajikistan</t>
  </si>
  <si>
    <t>Tajikistan</t>
  </si>
  <si>
    <t>Timor-Leste Red Cross Society</t>
  </si>
  <si>
    <t>Timor-Leste</t>
  </si>
  <si>
    <t>Red Crescent Society of Turkmenistan</t>
  </si>
  <si>
    <t>Turkmenistan</t>
  </si>
  <si>
    <t>Tonga Red Cross Society</t>
  </si>
  <si>
    <t>Tonga</t>
  </si>
  <si>
    <t>Turkish Red Crescent Society</t>
  </si>
  <si>
    <t>Turkey</t>
  </si>
  <si>
    <t>The Trinidad and Tobago Red Cross Society</t>
  </si>
  <si>
    <t>Trinidad and Tobago</t>
  </si>
  <si>
    <t>Tuvalu Red Cross Society</t>
  </si>
  <si>
    <t>Tuvalu</t>
  </si>
  <si>
    <t>Tanzania Red Cross National Society</t>
  </si>
  <si>
    <t>Tanzania, United Republic of</t>
  </si>
  <si>
    <t>Ukrainian Red Cross Society</t>
  </si>
  <si>
    <t>Ukraine</t>
  </si>
  <si>
    <t>Uganda Red Cross Society</t>
  </si>
  <si>
    <t>Uganda</t>
  </si>
  <si>
    <t>American Red Cross</t>
  </si>
  <si>
    <t>United States</t>
  </si>
  <si>
    <t>Uruguayan Red Cross</t>
  </si>
  <si>
    <t>Uruguay</t>
  </si>
  <si>
    <t>Red Crescent Society of Uzbekistan</t>
  </si>
  <si>
    <t>Uzbekistan</t>
  </si>
  <si>
    <t>Saint Vincent and the Grenadines Red Cross</t>
  </si>
  <si>
    <t>Saint Vincent and the Grenadines</t>
  </si>
  <si>
    <t>Venezuelan Red Cross</t>
  </si>
  <si>
    <t>Venezuela, Bolivarian Republic of</t>
  </si>
  <si>
    <t>Vietnam Red Cross Society</t>
  </si>
  <si>
    <t>Viet Nam</t>
  </si>
  <si>
    <t>Vanuatu Red Cross Society</t>
  </si>
  <si>
    <t>Vanuatu</t>
  </si>
  <si>
    <t>Samoa Red Cross Society</t>
  </si>
  <si>
    <t>Samoa</t>
  </si>
  <si>
    <t>Yemen Red Crescent Society</t>
  </si>
  <si>
    <t>Yemen</t>
  </si>
  <si>
    <t>The South African Red Cross Society</t>
  </si>
  <si>
    <t>South Africa</t>
  </si>
  <si>
    <t>Zambia Red Cross Society</t>
  </si>
  <si>
    <t>Zambia</t>
  </si>
  <si>
    <t>Zimbabwe Red Cross Society</t>
  </si>
  <si>
    <t>Zimbabwe</t>
  </si>
  <si>
    <t>KPI_DonBlood_isDataNotCollected</t>
  </si>
  <si>
    <t>KPI_DonBlood_Tot</t>
  </si>
  <si>
    <t>Have_Blood</t>
  </si>
  <si>
    <t>some_blood</t>
  </si>
  <si>
    <t>KPI_TrainFA_isDataNotCollected</t>
  </si>
  <si>
    <t>some_fa</t>
  </si>
  <si>
    <t>Have_FA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</si>
</sst>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BD02BAC9-ADDD-4DA1-821F-A2665DBC8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92"/>
  <sheetViews>
    <sheetView tabSelected="1" topLeftCell="BK1" workbookViewId="0">
      <selection activeCell="BL9" sqref="BL9"/>
    </sheetView>
  </sheetViews>
  <sheetFormatPr defaultColWidth="10.90625" defaultRowHeight="14.5" x14ac:dyDescent="0.35"/>
  <cols>
    <col min="63" max="63" width="29.90625" bestFit="1" customWidth="1"/>
    <col min="64" max="64" width="16.453125" bestFit="1" customWidth="1"/>
    <col min="67" max="67" width="14.54296875" bestFit="1" customWidth="1"/>
    <col min="68" max="68" width="17.1796875" bestFit="1" customWidth="1"/>
    <col min="69" max="69" width="15.7265625" bestFit="1" customWidth="1"/>
    <col min="70" max="70" width="27.90625" bestFit="1" customWidth="1"/>
  </cols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444</v>
      </c>
      <c r="BL1" t="s">
        <v>445</v>
      </c>
      <c r="BM1" t="s">
        <v>447</v>
      </c>
      <c r="BN1" t="s">
        <v>446</v>
      </c>
      <c r="BO1" t="s">
        <v>23</v>
      </c>
      <c r="BP1" t="s">
        <v>24</v>
      </c>
      <c r="BQ1" t="s">
        <v>25</v>
      </c>
      <c r="BR1" t="s">
        <v>448</v>
      </c>
      <c r="BS1" t="s">
        <v>449</v>
      </c>
      <c r="BT1" t="s">
        <v>450</v>
      </c>
    </row>
    <row r="2" spans="1:72" x14ac:dyDescent="0.35">
      <c r="A2" t="s">
        <v>62</v>
      </c>
      <c r="B2" t="s">
        <v>63</v>
      </c>
      <c r="C2">
        <v>413</v>
      </c>
      <c r="D2">
        <v>413</v>
      </c>
      <c r="E2">
        <v>413</v>
      </c>
      <c r="F2">
        <v>76</v>
      </c>
      <c r="G2">
        <v>76</v>
      </c>
      <c r="H2">
        <v>76</v>
      </c>
      <c r="I2">
        <v>3134370</v>
      </c>
      <c r="J2">
        <v>3134370</v>
      </c>
      <c r="K2">
        <v>3134370</v>
      </c>
      <c r="L2">
        <v>2672062</v>
      </c>
      <c r="M2">
        <v>2672062</v>
      </c>
      <c r="N2">
        <v>2672062</v>
      </c>
      <c r="R2">
        <v>3016</v>
      </c>
      <c r="T2">
        <v>3016</v>
      </c>
      <c r="BK2">
        <v>0</v>
      </c>
      <c r="BL2">
        <v>1529</v>
      </c>
      <c r="BM2" t="b">
        <f>BL2&gt;0</f>
        <v>1</v>
      </c>
      <c r="BN2" t="b">
        <f>OR(BK2,BM2)</f>
        <v>1</v>
      </c>
      <c r="BO2">
        <v>3162</v>
      </c>
      <c r="BP2">
        <v>3162</v>
      </c>
      <c r="BQ2">
        <v>3162</v>
      </c>
      <c r="BR2">
        <v>0</v>
      </c>
      <c r="BS2" t="b">
        <f>BQ2&gt;0</f>
        <v>1</v>
      </c>
      <c r="BT2" t="b">
        <f>OR(BS2,BR2)</f>
        <v>1</v>
      </c>
    </row>
    <row r="3" spans="1:72" x14ac:dyDescent="0.35">
      <c r="A3" t="s">
        <v>64</v>
      </c>
      <c r="B3" t="s">
        <v>65</v>
      </c>
      <c r="BM3" t="b">
        <f t="shared" ref="BM3:BM66" si="0">BL3&gt;0</f>
        <v>0</v>
      </c>
      <c r="BN3" t="b">
        <f t="shared" ref="BN3:BN66" si="1">OR(BK3,BM3)</f>
        <v>0</v>
      </c>
      <c r="BS3" t="b">
        <f t="shared" ref="BS3:BS66" si="2">BQ3&gt;0</f>
        <v>0</v>
      </c>
      <c r="BT3" t="b">
        <f t="shared" ref="BT3:BT66" si="3">OR(BS3,BR3)</f>
        <v>0</v>
      </c>
    </row>
    <row r="4" spans="1:72" x14ac:dyDescent="0.35">
      <c r="A4" t="s">
        <v>66</v>
      </c>
      <c r="B4" t="s">
        <v>67</v>
      </c>
      <c r="C4">
        <v>29908</v>
      </c>
      <c r="E4">
        <v>29908</v>
      </c>
      <c r="F4">
        <v>4663</v>
      </c>
      <c r="G4">
        <v>4663</v>
      </c>
      <c r="H4">
        <v>4663</v>
      </c>
      <c r="I4">
        <v>38058965</v>
      </c>
      <c r="J4">
        <v>38058965</v>
      </c>
      <c r="K4">
        <v>38058965</v>
      </c>
      <c r="L4">
        <v>33659751</v>
      </c>
      <c r="N4">
        <v>33659751</v>
      </c>
      <c r="O4">
        <v>5238588</v>
      </c>
      <c r="P4">
        <v>5238588</v>
      </c>
      <c r="Q4">
        <v>5238588</v>
      </c>
      <c r="R4">
        <v>3511940</v>
      </c>
      <c r="S4">
        <v>3511940</v>
      </c>
      <c r="T4">
        <v>3511940</v>
      </c>
      <c r="AA4">
        <v>61906</v>
      </c>
      <c r="AB4">
        <v>61906</v>
      </c>
      <c r="AC4">
        <v>61906</v>
      </c>
      <c r="AD4">
        <v>147379</v>
      </c>
      <c r="AE4">
        <v>147379</v>
      </c>
      <c r="AF4">
        <v>147379</v>
      </c>
      <c r="AG4">
        <v>22152</v>
      </c>
      <c r="AI4">
        <v>22152</v>
      </c>
      <c r="AM4">
        <v>181046</v>
      </c>
      <c r="AN4">
        <v>181046</v>
      </c>
      <c r="AO4">
        <v>181046</v>
      </c>
      <c r="AP4">
        <v>5587621</v>
      </c>
      <c r="AQ4">
        <v>5587621</v>
      </c>
      <c r="AR4">
        <v>5587621</v>
      </c>
      <c r="AS4">
        <v>926980</v>
      </c>
      <c r="AT4">
        <v>926980</v>
      </c>
      <c r="AU4">
        <v>926980</v>
      </c>
      <c r="AV4">
        <v>266401</v>
      </c>
      <c r="AW4">
        <v>266401</v>
      </c>
      <c r="AX4">
        <v>266401</v>
      </c>
      <c r="AY4">
        <v>1059580</v>
      </c>
      <c r="AZ4">
        <v>1059580</v>
      </c>
      <c r="BA4">
        <v>1059580</v>
      </c>
      <c r="BB4">
        <v>102944</v>
      </c>
      <c r="BC4">
        <v>102944</v>
      </c>
      <c r="BD4">
        <v>102944</v>
      </c>
      <c r="BE4">
        <v>200</v>
      </c>
      <c r="BF4">
        <v>200</v>
      </c>
      <c r="BG4">
        <v>200</v>
      </c>
      <c r="BH4">
        <v>218</v>
      </c>
      <c r="BI4">
        <v>218</v>
      </c>
      <c r="BJ4">
        <v>218</v>
      </c>
      <c r="BK4">
        <v>0</v>
      </c>
      <c r="BM4" t="b">
        <f t="shared" si="0"/>
        <v>0</v>
      </c>
      <c r="BN4" t="b">
        <f t="shared" si="1"/>
        <v>0</v>
      </c>
      <c r="BO4">
        <v>600</v>
      </c>
      <c r="BP4">
        <v>600</v>
      </c>
      <c r="BQ4">
        <v>600</v>
      </c>
      <c r="BR4">
        <v>0</v>
      </c>
      <c r="BS4" t="b">
        <f t="shared" si="2"/>
        <v>1</v>
      </c>
      <c r="BT4" t="b">
        <f t="shared" si="3"/>
        <v>1</v>
      </c>
    </row>
    <row r="5" spans="1:72" x14ac:dyDescent="0.35">
      <c r="A5" t="s">
        <v>68</v>
      </c>
      <c r="B5" t="s">
        <v>69</v>
      </c>
      <c r="C5">
        <v>66</v>
      </c>
      <c r="E5">
        <v>66</v>
      </c>
      <c r="F5">
        <v>5</v>
      </c>
      <c r="G5">
        <v>5</v>
      </c>
      <c r="H5">
        <v>5</v>
      </c>
      <c r="I5">
        <v>77059</v>
      </c>
      <c r="J5">
        <v>77059</v>
      </c>
      <c r="K5">
        <v>77059</v>
      </c>
      <c r="L5">
        <v>62605</v>
      </c>
      <c r="M5">
        <v>62605</v>
      </c>
      <c r="N5">
        <v>62605</v>
      </c>
      <c r="R5">
        <v>268</v>
      </c>
      <c r="S5">
        <v>268</v>
      </c>
      <c r="T5">
        <v>268</v>
      </c>
      <c r="AA5">
        <v>3</v>
      </c>
      <c r="AB5">
        <v>3</v>
      </c>
      <c r="AC5">
        <v>3</v>
      </c>
      <c r="AD5">
        <v>30</v>
      </c>
      <c r="AE5">
        <v>30</v>
      </c>
      <c r="AF5">
        <v>30</v>
      </c>
      <c r="AG5">
        <v>20</v>
      </c>
      <c r="AI5">
        <v>20</v>
      </c>
      <c r="AJ5">
        <v>8</v>
      </c>
      <c r="AK5">
        <v>8</v>
      </c>
      <c r="AL5">
        <v>8</v>
      </c>
      <c r="AP5">
        <v>1032</v>
      </c>
      <c r="AQ5">
        <v>1032</v>
      </c>
      <c r="AR5">
        <v>1032</v>
      </c>
      <c r="AS5">
        <v>30</v>
      </c>
      <c r="AT5">
        <v>30</v>
      </c>
      <c r="AU5">
        <v>30</v>
      </c>
      <c r="AY5">
        <v>50</v>
      </c>
      <c r="AZ5">
        <v>50</v>
      </c>
      <c r="BA5">
        <v>50</v>
      </c>
      <c r="BB5">
        <v>17</v>
      </c>
      <c r="BC5">
        <v>17</v>
      </c>
      <c r="BD5">
        <v>17</v>
      </c>
      <c r="BE5">
        <v>170</v>
      </c>
      <c r="BF5">
        <v>170</v>
      </c>
      <c r="BG5">
        <v>170</v>
      </c>
      <c r="BH5">
        <v>300</v>
      </c>
      <c r="BI5">
        <v>300</v>
      </c>
      <c r="BJ5">
        <v>300</v>
      </c>
      <c r="BK5">
        <v>1</v>
      </c>
      <c r="BM5" t="b">
        <f t="shared" si="0"/>
        <v>0</v>
      </c>
      <c r="BN5" t="b">
        <f t="shared" si="1"/>
        <v>1</v>
      </c>
      <c r="BO5">
        <v>500</v>
      </c>
      <c r="BP5">
        <v>500</v>
      </c>
      <c r="BQ5">
        <v>500</v>
      </c>
      <c r="BR5">
        <v>0</v>
      </c>
      <c r="BS5" t="b">
        <f t="shared" si="2"/>
        <v>1</v>
      </c>
      <c r="BT5" t="b">
        <f t="shared" si="3"/>
        <v>1</v>
      </c>
    </row>
    <row r="6" spans="1:72" x14ac:dyDescent="0.35">
      <c r="A6" t="s">
        <v>70</v>
      </c>
      <c r="B6" t="s">
        <v>71</v>
      </c>
      <c r="D6">
        <v>2800</v>
      </c>
      <c r="E6">
        <v>2800</v>
      </c>
      <c r="G6">
        <v>58</v>
      </c>
      <c r="H6">
        <v>58</v>
      </c>
      <c r="I6">
        <v>1623811</v>
      </c>
      <c r="J6">
        <v>1623811</v>
      </c>
      <c r="K6">
        <v>1623811</v>
      </c>
      <c r="L6">
        <v>1752000</v>
      </c>
      <c r="M6">
        <v>1752000</v>
      </c>
      <c r="N6">
        <v>1752000</v>
      </c>
      <c r="O6">
        <v>1400</v>
      </c>
      <c r="P6">
        <v>1400</v>
      </c>
      <c r="Q6">
        <v>1400</v>
      </c>
      <c r="U6">
        <v>12000</v>
      </c>
      <c r="V6">
        <v>12000</v>
      </c>
      <c r="W6">
        <v>12000</v>
      </c>
      <c r="AA6">
        <v>600</v>
      </c>
      <c r="AB6">
        <v>600</v>
      </c>
      <c r="AC6">
        <v>600</v>
      </c>
      <c r="AD6">
        <v>16250</v>
      </c>
      <c r="AE6">
        <v>16250</v>
      </c>
      <c r="AF6">
        <v>16250</v>
      </c>
      <c r="AJ6">
        <v>15000</v>
      </c>
      <c r="AK6">
        <v>15000</v>
      </c>
      <c r="AL6">
        <v>15000</v>
      </c>
      <c r="AP6">
        <v>110708</v>
      </c>
      <c r="AQ6">
        <v>110708</v>
      </c>
      <c r="AR6">
        <v>110708</v>
      </c>
      <c r="AS6">
        <v>1213</v>
      </c>
      <c r="AT6">
        <v>1213</v>
      </c>
      <c r="AU6">
        <v>1213</v>
      </c>
      <c r="AY6">
        <v>2500</v>
      </c>
      <c r="AZ6">
        <v>2500</v>
      </c>
      <c r="BA6">
        <v>2500</v>
      </c>
      <c r="BB6">
        <v>180</v>
      </c>
      <c r="BC6">
        <v>180</v>
      </c>
      <c r="BD6">
        <v>180</v>
      </c>
      <c r="BE6">
        <v>2042</v>
      </c>
      <c r="BF6">
        <v>2042</v>
      </c>
      <c r="BG6">
        <v>2042</v>
      </c>
      <c r="BH6">
        <v>14344</v>
      </c>
      <c r="BI6">
        <v>14344</v>
      </c>
      <c r="BJ6">
        <v>14344</v>
      </c>
      <c r="BK6">
        <v>0</v>
      </c>
      <c r="BL6">
        <v>4523</v>
      </c>
      <c r="BM6" t="b">
        <f t="shared" si="0"/>
        <v>1</v>
      </c>
      <c r="BN6" t="b">
        <f t="shared" si="1"/>
        <v>1</v>
      </c>
      <c r="BO6">
        <v>51772</v>
      </c>
      <c r="BP6">
        <v>51772</v>
      </c>
      <c r="BQ6">
        <v>51772</v>
      </c>
      <c r="BR6">
        <v>0</v>
      </c>
      <c r="BS6" t="b">
        <f t="shared" si="2"/>
        <v>1</v>
      </c>
      <c r="BT6" t="b">
        <f t="shared" si="3"/>
        <v>1</v>
      </c>
    </row>
    <row r="7" spans="1:72" x14ac:dyDescent="0.35">
      <c r="A7" t="s">
        <v>72</v>
      </c>
      <c r="B7" t="s">
        <v>73</v>
      </c>
      <c r="C7">
        <v>1792</v>
      </c>
      <c r="D7">
        <v>1792</v>
      </c>
      <c r="E7">
        <v>1792</v>
      </c>
      <c r="F7">
        <v>371</v>
      </c>
      <c r="G7">
        <v>371</v>
      </c>
      <c r="H7">
        <v>371</v>
      </c>
      <c r="J7">
        <v>12972636</v>
      </c>
      <c r="K7">
        <v>12972636</v>
      </c>
      <c r="M7">
        <v>11248074</v>
      </c>
      <c r="N7">
        <v>11248074</v>
      </c>
      <c r="P7">
        <v>39451</v>
      </c>
      <c r="Q7">
        <v>39451</v>
      </c>
      <c r="AB7">
        <v>16559</v>
      </c>
      <c r="AC7">
        <v>16559</v>
      </c>
      <c r="AQ7">
        <v>80873</v>
      </c>
      <c r="AR7">
        <v>80873</v>
      </c>
      <c r="AT7">
        <v>36459</v>
      </c>
      <c r="AU7">
        <v>36459</v>
      </c>
      <c r="AW7">
        <v>48000</v>
      </c>
      <c r="AX7">
        <v>48000</v>
      </c>
      <c r="AZ7">
        <v>1862</v>
      </c>
      <c r="BA7">
        <v>1862</v>
      </c>
      <c r="BC7">
        <v>140000</v>
      </c>
      <c r="BD7">
        <v>140000</v>
      </c>
      <c r="BF7">
        <v>3834</v>
      </c>
      <c r="BG7">
        <v>3834</v>
      </c>
      <c r="BI7">
        <v>3920</v>
      </c>
      <c r="BJ7">
        <v>3920</v>
      </c>
      <c r="BM7" t="b">
        <f t="shared" si="0"/>
        <v>0</v>
      </c>
      <c r="BN7" t="b">
        <f t="shared" si="1"/>
        <v>0</v>
      </c>
      <c r="BP7">
        <v>1113</v>
      </c>
      <c r="BQ7">
        <v>1113</v>
      </c>
      <c r="BS7" t="b">
        <f t="shared" si="2"/>
        <v>1</v>
      </c>
      <c r="BT7" t="b">
        <f t="shared" si="3"/>
        <v>1</v>
      </c>
    </row>
    <row r="8" spans="1:72" x14ac:dyDescent="0.35">
      <c r="A8" t="s">
        <v>74</v>
      </c>
      <c r="B8" t="s">
        <v>75</v>
      </c>
      <c r="D8">
        <v>4665</v>
      </c>
      <c r="E8">
        <v>4665</v>
      </c>
      <c r="G8">
        <v>77</v>
      </c>
      <c r="H8">
        <v>77</v>
      </c>
      <c r="J8">
        <v>746634</v>
      </c>
      <c r="K8">
        <v>746634</v>
      </c>
      <c r="M8">
        <v>741063</v>
      </c>
      <c r="N8">
        <v>741063</v>
      </c>
      <c r="P8">
        <v>131881</v>
      </c>
      <c r="Q8">
        <v>131881</v>
      </c>
      <c r="S8">
        <v>91806</v>
      </c>
      <c r="T8">
        <v>91806</v>
      </c>
      <c r="AB8">
        <v>7500</v>
      </c>
      <c r="AC8">
        <v>7500</v>
      </c>
      <c r="AE8">
        <v>91872</v>
      </c>
      <c r="AF8">
        <v>91872</v>
      </c>
      <c r="AN8">
        <v>19200</v>
      </c>
      <c r="AO8">
        <v>19200</v>
      </c>
      <c r="AQ8">
        <v>3572447</v>
      </c>
      <c r="AR8">
        <v>3572447</v>
      </c>
      <c r="AW8">
        <v>1243532</v>
      </c>
      <c r="AX8">
        <v>1243532</v>
      </c>
      <c r="AZ8">
        <v>26336</v>
      </c>
      <c r="BA8">
        <v>26336</v>
      </c>
      <c r="BC8">
        <v>5000</v>
      </c>
      <c r="BD8">
        <v>5000</v>
      </c>
      <c r="BF8">
        <v>181231</v>
      </c>
      <c r="BG8">
        <v>181231</v>
      </c>
      <c r="BM8" t="b">
        <f t="shared" si="0"/>
        <v>0</v>
      </c>
      <c r="BN8" t="b">
        <f t="shared" si="1"/>
        <v>0</v>
      </c>
      <c r="BP8">
        <v>90</v>
      </c>
      <c r="BQ8">
        <v>90</v>
      </c>
      <c r="BS8" t="b">
        <f t="shared" si="2"/>
        <v>1</v>
      </c>
      <c r="BT8" t="b">
        <f t="shared" si="3"/>
        <v>1</v>
      </c>
    </row>
    <row r="9" spans="1:72" x14ac:dyDescent="0.35">
      <c r="A9" t="s">
        <v>76</v>
      </c>
      <c r="B9" t="s">
        <v>77</v>
      </c>
      <c r="D9">
        <v>7160</v>
      </c>
      <c r="E9">
        <v>7160</v>
      </c>
      <c r="G9">
        <v>1855</v>
      </c>
      <c r="H9">
        <v>1855</v>
      </c>
      <c r="J9">
        <v>5823227</v>
      </c>
      <c r="K9">
        <v>5823227</v>
      </c>
      <c r="M9">
        <v>14737855</v>
      </c>
      <c r="N9">
        <v>14737855</v>
      </c>
      <c r="P9">
        <v>11275</v>
      </c>
      <c r="Q9">
        <v>11275</v>
      </c>
      <c r="S9">
        <v>18779</v>
      </c>
      <c r="T9">
        <v>18779</v>
      </c>
      <c r="V9">
        <v>7000</v>
      </c>
      <c r="W9">
        <v>7000</v>
      </c>
      <c r="AB9">
        <v>2245</v>
      </c>
      <c r="AC9">
        <v>2245</v>
      </c>
      <c r="AE9">
        <v>6000</v>
      </c>
      <c r="AF9">
        <v>6000</v>
      </c>
      <c r="AH9">
        <v>1290</v>
      </c>
      <c r="AI9">
        <v>1290</v>
      </c>
      <c r="AK9">
        <v>2500</v>
      </c>
      <c r="AL9">
        <v>2500</v>
      </c>
      <c r="AQ9">
        <v>13000</v>
      </c>
      <c r="AR9">
        <v>13000</v>
      </c>
      <c r="AT9">
        <v>7560</v>
      </c>
      <c r="AU9">
        <v>7560</v>
      </c>
      <c r="AW9">
        <v>9200</v>
      </c>
      <c r="AX9">
        <v>9200</v>
      </c>
      <c r="AZ9">
        <v>11000</v>
      </c>
      <c r="BA9">
        <v>11000</v>
      </c>
      <c r="BC9">
        <v>22000</v>
      </c>
      <c r="BD9">
        <v>22000</v>
      </c>
      <c r="BF9">
        <v>3150</v>
      </c>
      <c r="BG9">
        <v>3150</v>
      </c>
      <c r="BI9">
        <v>11000</v>
      </c>
      <c r="BJ9">
        <v>11000</v>
      </c>
      <c r="BM9" t="b">
        <f t="shared" si="0"/>
        <v>0</v>
      </c>
      <c r="BN9" t="b">
        <f t="shared" si="1"/>
        <v>0</v>
      </c>
      <c r="BP9">
        <v>31298</v>
      </c>
      <c r="BQ9">
        <v>31298</v>
      </c>
      <c r="BS9" t="b">
        <f t="shared" si="2"/>
        <v>1</v>
      </c>
      <c r="BT9" t="b">
        <f t="shared" si="3"/>
        <v>1</v>
      </c>
    </row>
    <row r="10" spans="1:72" x14ac:dyDescent="0.35">
      <c r="A10" t="s">
        <v>78</v>
      </c>
      <c r="B10" t="s">
        <v>79</v>
      </c>
      <c r="C10">
        <v>79713</v>
      </c>
      <c r="D10">
        <v>79713</v>
      </c>
      <c r="E10">
        <v>79713</v>
      </c>
      <c r="F10">
        <v>10719</v>
      </c>
      <c r="G10">
        <v>10719</v>
      </c>
      <c r="H10">
        <v>10719</v>
      </c>
      <c r="I10">
        <v>68974264</v>
      </c>
      <c r="J10">
        <v>68974264</v>
      </c>
      <c r="K10">
        <v>68974264</v>
      </c>
      <c r="L10">
        <v>70806307</v>
      </c>
      <c r="M10">
        <v>70806307</v>
      </c>
      <c r="N10">
        <v>70806307</v>
      </c>
      <c r="R10">
        <v>430586</v>
      </c>
      <c r="T10">
        <v>430586</v>
      </c>
      <c r="AJ10">
        <v>1180</v>
      </c>
      <c r="AK10">
        <v>1180</v>
      </c>
      <c r="AL10">
        <v>1180</v>
      </c>
      <c r="AP10">
        <v>3420203</v>
      </c>
      <c r="AQ10">
        <v>3420203</v>
      </c>
      <c r="AR10">
        <v>3420203</v>
      </c>
      <c r="AS10">
        <v>53197</v>
      </c>
      <c r="AU10">
        <v>53197</v>
      </c>
      <c r="BB10">
        <v>5022</v>
      </c>
      <c r="BD10">
        <v>5022</v>
      </c>
      <c r="BE10">
        <v>34952</v>
      </c>
      <c r="BF10">
        <v>34952</v>
      </c>
      <c r="BG10">
        <v>34952</v>
      </c>
      <c r="BH10">
        <v>196566</v>
      </c>
      <c r="BJ10">
        <v>196566</v>
      </c>
      <c r="BK10">
        <v>0</v>
      </c>
      <c r="BL10">
        <v>211559</v>
      </c>
      <c r="BM10" t="b">
        <f t="shared" si="0"/>
        <v>1</v>
      </c>
      <c r="BN10" t="b">
        <f t="shared" si="1"/>
        <v>1</v>
      </c>
      <c r="BO10">
        <v>385959</v>
      </c>
      <c r="BP10">
        <v>385959</v>
      </c>
      <c r="BQ10">
        <v>385959</v>
      </c>
      <c r="BR10">
        <v>0</v>
      </c>
      <c r="BS10" t="b">
        <f t="shared" si="2"/>
        <v>1</v>
      </c>
      <c r="BT10" t="b">
        <f t="shared" si="3"/>
        <v>1</v>
      </c>
    </row>
    <row r="11" spans="1:72" x14ac:dyDescent="0.35">
      <c r="A11" t="s">
        <v>80</v>
      </c>
      <c r="B11" t="s">
        <v>81</v>
      </c>
      <c r="D11">
        <v>10351</v>
      </c>
      <c r="E11">
        <v>10351</v>
      </c>
      <c r="G11">
        <v>5407</v>
      </c>
      <c r="H11">
        <v>5407</v>
      </c>
      <c r="J11">
        <v>652329049</v>
      </c>
      <c r="K11">
        <v>652329049</v>
      </c>
      <c r="M11">
        <v>683053032</v>
      </c>
      <c r="N11">
        <v>683053032</v>
      </c>
      <c r="P11">
        <v>29775</v>
      </c>
      <c r="Q11">
        <v>29775</v>
      </c>
      <c r="S11">
        <v>133074</v>
      </c>
      <c r="T11">
        <v>133074</v>
      </c>
      <c r="V11">
        <v>38450</v>
      </c>
      <c r="W11">
        <v>38450</v>
      </c>
      <c r="AB11">
        <v>11512</v>
      </c>
      <c r="AC11">
        <v>11512</v>
      </c>
      <c r="AE11">
        <v>68644</v>
      </c>
      <c r="AF11">
        <v>68644</v>
      </c>
      <c r="AH11">
        <v>38450</v>
      </c>
      <c r="AI11">
        <v>38450</v>
      </c>
      <c r="AK11">
        <v>38450</v>
      </c>
      <c r="AL11">
        <v>38450</v>
      </c>
      <c r="AN11">
        <v>3929</v>
      </c>
      <c r="AO11">
        <v>3929</v>
      </c>
      <c r="AQ11">
        <v>11160</v>
      </c>
      <c r="AR11">
        <v>11160</v>
      </c>
      <c r="AT11">
        <v>29474</v>
      </c>
      <c r="AU11">
        <v>29474</v>
      </c>
      <c r="BC11">
        <v>14947</v>
      </c>
      <c r="BD11">
        <v>14947</v>
      </c>
      <c r="BF11">
        <v>3929</v>
      </c>
      <c r="BG11">
        <v>3929</v>
      </c>
      <c r="BM11" t="b">
        <f t="shared" si="0"/>
        <v>0</v>
      </c>
      <c r="BN11" t="b">
        <f t="shared" si="1"/>
        <v>0</v>
      </c>
      <c r="BP11">
        <v>60541</v>
      </c>
      <c r="BQ11">
        <v>60541</v>
      </c>
      <c r="BS11" t="b">
        <f t="shared" si="2"/>
        <v>1</v>
      </c>
      <c r="BT11" t="b">
        <f t="shared" si="3"/>
        <v>1</v>
      </c>
    </row>
    <row r="12" spans="1:72" x14ac:dyDescent="0.35">
      <c r="A12" t="s">
        <v>82</v>
      </c>
      <c r="B12" t="s">
        <v>83</v>
      </c>
      <c r="C12">
        <v>6000</v>
      </c>
      <c r="E12">
        <v>6000</v>
      </c>
      <c r="F12">
        <v>175</v>
      </c>
      <c r="G12">
        <v>175</v>
      </c>
      <c r="H12">
        <v>175</v>
      </c>
      <c r="I12">
        <v>1955800</v>
      </c>
      <c r="J12">
        <v>1955800</v>
      </c>
      <c r="K12">
        <v>1955800</v>
      </c>
      <c r="L12">
        <v>1940132</v>
      </c>
      <c r="M12">
        <v>1940132</v>
      </c>
      <c r="N12">
        <v>1940132</v>
      </c>
      <c r="O12">
        <v>1683</v>
      </c>
      <c r="P12">
        <v>1683</v>
      </c>
      <c r="Q12">
        <v>1683</v>
      </c>
      <c r="U12">
        <v>51933</v>
      </c>
      <c r="V12">
        <v>51933</v>
      </c>
      <c r="W12">
        <v>51933</v>
      </c>
      <c r="AG12">
        <v>4000</v>
      </c>
      <c r="AI12">
        <v>4000</v>
      </c>
      <c r="AM12">
        <v>374</v>
      </c>
      <c r="AN12">
        <v>374</v>
      </c>
      <c r="AO12">
        <v>374</v>
      </c>
      <c r="AP12">
        <v>18358</v>
      </c>
      <c r="AQ12">
        <v>18358</v>
      </c>
      <c r="AR12">
        <v>18358</v>
      </c>
      <c r="AS12">
        <v>2067</v>
      </c>
      <c r="AT12">
        <v>2067</v>
      </c>
      <c r="AU12">
        <v>2067</v>
      </c>
      <c r="AY12">
        <v>1000</v>
      </c>
      <c r="AZ12">
        <v>1000</v>
      </c>
      <c r="BA12">
        <v>1000</v>
      </c>
      <c r="BB12">
        <v>70</v>
      </c>
      <c r="BC12">
        <v>70</v>
      </c>
      <c r="BD12">
        <v>70</v>
      </c>
      <c r="BE12">
        <v>1742</v>
      </c>
      <c r="BF12">
        <v>1742</v>
      </c>
      <c r="BG12">
        <v>1742</v>
      </c>
      <c r="BH12">
        <v>19083</v>
      </c>
      <c r="BI12">
        <v>19083</v>
      </c>
      <c r="BJ12">
        <v>19083</v>
      </c>
      <c r="BK12">
        <v>0</v>
      </c>
      <c r="BL12">
        <v>1145</v>
      </c>
      <c r="BM12" t="b">
        <f t="shared" si="0"/>
        <v>1</v>
      </c>
      <c r="BN12" t="b">
        <f t="shared" si="1"/>
        <v>1</v>
      </c>
      <c r="BO12">
        <v>6239</v>
      </c>
      <c r="BP12">
        <v>6239</v>
      </c>
      <c r="BQ12">
        <v>6239</v>
      </c>
      <c r="BR12">
        <v>0</v>
      </c>
      <c r="BS12" t="b">
        <f t="shared" si="2"/>
        <v>1</v>
      </c>
      <c r="BT12" t="b">
        <f t="shared" si="3"/>
        <v>1</v>
      </c>
    </row>
    <row r="13" spans="1:72" x14ac:dyDescent="0.35">
      <c r="A13" t="s">
        <v>84</v>
      </c>
      <c r="B13" t="s">
        <v>85</v>
      </c>
      <c r="D13">
        <v>9749</v>
      </c>
      <c r="E13">
        <v>9749</v>
      </c>
      <c r="G13">
        <v>341</v>
      </c>
      <c r="H13">
        <v>341</v>
      </c>
      <c r="J13">
        <v>2164280</v>
      </c>
      <c r="K13">
        <v>2164280</v>
      </c>
      <c r="M13">
        <v>2164280</v>
      </c>
      <c r="N13">
        <v>2164280</v>
      </c>
      <c r="P13">
        <v>9999</v>
      </c>
      <c r="Q13">
        <v>9999</v>
      </c>
      <c r="S13">
        <v>72971</v>
      </c>
      <c r="T13">
        <v>72971</v>
      </c>
      <c r="V13">
        <v>2322</v>
      </c>
      <c r="W13">
        <v>2322</v>
      </c>
      <c r="AB13">
        <v>73961</v>
      </c>
      <c r="AC13">
        <v>73961</v>
      </c>
      <c r="AE13">
        <v>40866</v>
      </c>
      <c r="AF13">
        <v>40866</v>
      </c>
      <c r="AH13">
        <v>28</v>
      </c>
      <c r="AI13">
        <v>28</v>
      </c>
      <c r="AK13">
        <v>118</v>
      </c>
      <c r="AL13">
        <v>118</v>
      </c>
      <c r="AN13">
        <v>5866</v>
      </c>
      <c r="AO13">
        <v>5866</v>
      </c>
      <c r="AQ13">
        <v>28616</v>
      </c>
      <c r="AR13">
        <v>28616</v>
      </c>
      <c r="AT13">
        <v>49418</v>
      </c>
      <c r="AU13">
        <v>49418</v>
      </c>
      <c r="AW13">
        <v>72675</v>
      </c>
      <c r="AX13">
        <v>72675</v>
      </c>
      <c r="AZ13">
        <v>16900</v>
      </c>
      <c r="BA13">
        <v>16900</v>
      </c>
      <c r="BC13">
        <v>14432</v>
      </c>
      <c r="BD13">
        <v>14432</v>
      </c>
      <c r="BF13">
        <v>892</v>
      </c>
      <c r="BG13">
        <v>892</v>
      </c>
      <c r="BI13">
        <v>76</v>
      </c>
      <c r="BJ13">
        <v>76</v>
      </c>
      <c r="BM13" t="b">
        <f t="shared" si="0"/>
        <v>0</v>
      </c>
      <c r="BN13" t="b">
        <f t="shared" si="1"/>
        <v>0</v>
      </c>
      <c r="BP13">
        <v>45328</v>
      </c>
      <c r="BQ13">
        <v>45328</v>
      </c>
      <c r="BS13" t="b">
        <f t="shared" si="2"/>
        <v>1</v>
      </c>
      <c r="BT13" t="b">
        <f t="shared" si="3"/>
        <v>1</v>
      </c>
    </row>
    <row r="14" spans="1:72" x14ac:dyDescent="0.35">
      <c r="A14" t="s">
        <v>86</v>
      </c>
      <c r="B14" t="s">
        <v>87</v>
      </c>
      <c r="D14">
        <v>65</v>
      </c>
      <c r="E14">
        <v>65</v>
      </c>
      <c r="G14">
        <v>7</v>
      </c>
      <c r="H14">
        <v>7</v>
      </c>
      <c r="J14">
        <v>232102</v>
      </c>
      <c r="K14">
        <v>232102</v>
      </c>
      <c r="M14">
        <v>233131</v>
      </c>
      <c r="N14">
        <v>233131</v>
      </c>
      <c r="P14">
        <v>229</v>
      </c>
      <c r="Q14">
        <v>229</v>
      </c>
      <c r="S14">
        <v>50</v>
      </c>
      <c r="T14">
        <v>50</v>
      </c>
      <c r="V14">
        <v>145</v>
      </c>
      <c r="W14">
        <v>145</v>
      </c>
      <c r="AB14">
        <v>160</v>
      </c>
      <c r="AC14">
        <v>160</v>
      </c>
      <c r="AE14">
        <v>129</v>
      </c>
      <c r="AF14">
        <v>129</v>
      </c>
      <c r="AH14">
        <v>3</v>
      </c>
      <c r="AI14">
        <v>3</v>
      </c>
      <c r="AK14">
        <v>250</v>
      </c>
      <c r="AL14">
        <v>250</v>
      </c>
      <c r="AN14">
        <v>516</v>
      </c>
      <c r="AO14">
        <v>516</v>
      </c>
      <c r="AQ14">
        <v>348</v>
      </c>
      <c r="AR14">
        <v>348</v>
      </c>
      <c r="AT14">
        <v>160</v>
      </c>
      <c r="AU14">
        <v>160</v>
      </c>
      <c r="AZ14">
        <v>200</v>
      </c>
      <c r="BA14">
        <v>200</v>
      </c>
      <c r="BI14">
        <v>100</v>
      </c>
      <c r="BJ14">
        <v>100</v>
      </c>
      <c r="BM14" t="b">
        <f t="shared" si="0"/>
        <v>0</v>
      </c>
      <c r="BN14" t="b">
        <f t="shared" si="1"/>
        <v>0</v>
      </c>
      <c r="BP14">
        <v>723</v>
      </c>
      <c r="BQ14">
        <v>723</v>
      </c>
      <c r="BS14" t="b">
        <f t="shared" si="2"/>
        <v>1</v>
      </c>
      <c r="BT14" t="b">
        <f t="shared" si="3"/>
        <v>1</v>
      </c>
    </row>
    <row r="15" spans="1:72" x14ac:dyDescent="0.35">
      <c r="A15" t="s">
        <v>88</v>
      </c>
      <c r="B15" t="s">
        <v>89</v>
      </c>
      <c r="D15">
        <v>132319</v>
      </c>
      <c r="E15">
        <v>132319</v>
      </c>
      <c r="G15">
        <v>2639</v>
      </c>
      <c r="H15">
        <v>2639</v>
      </c>
      <c r="J15">
        <v>31068301</v>
      </c>
      <c r="K15">
        <v>31068301</v>
      </c>
      <c r="M15">
        <v>30533527</v>
      </c>
      <c r="N15">
        <v>30533527</v>
      </c>
      <c r="P15">
        <v>2531171</v>
      </c>
      <c r="Q15">
        <v>2531171</v>
      </c>
      <c r="S15">
        <v>2759021</v>
      </c>
      <c r="T15">
        <v>2759021</v>
      </c>
      <c r="V15">
        <v>654914</v>
      </c>
      <c r="W15">
        <v>654914</v>
      </c>
      <c r="AB15">
        <v>167888</v>
      </c>
      <c r="AC15">
        <v>167888</v>
      </c>
      <c r="AE15">
        <v>564978</v>
      </c>
      <c r="AF15">
        <v>564978</v>
      </c>
      <c r="AH15">
        <v>67474</v>
      </c>
      <c r="AI15">
        <v>67474</v>
      </c>
      <c r="AK15">
        <v>79743</v>
      </c>
      <c r="AL15">
        <v>79743</v>
      </c>
      <c r="AN15">
        <v>436547</v>
      </c>
      <c r="AO15">
        <v>436547</v>
      </c>
      <c r="AQ15">
        <v>2254619</v>
      </c>
      <c r="AR15">
        <v>2254619</v>
      </c>
      <c r="AT15">
        <v>41675</v>
      </c>
      <c r="AU15">
        <v>41675</v>
      </c>
      <c r="AW15">
        <v>25536</v>
      </c>
      <c r="AX15">
        <v>25536</v>
      </c>
      <c r="AZ15">
        <v>422194</v>
      </c>
      <c r="BA15">
        <v>422194</v>
      </c>
      <c r="BC15">
        <v>137433</v>
      </c>
      <c r="BD15">
        <v>137433</v>
      </c>
      <c r="BF15">
        <v>313446</v>
      </c>
      <c r="BG15">
        <v>313446</v>
      </c>
      <c r="BI15">
        <v>123745</v>
      </c>
      <c r="BJ15">
        <v>123745</v>
      </c>
      <c r="BM15" t="b">
        <f t="shared" si="0"/>
        <v>0</v>
      </c>
      <c r="BN15" t="b">
        <f t="shared" si="1"/>
        <v>0</v>
      </c>
      <c r="BP15">
        <v>40452</v>
      </c>
      <c r="BQ15">
        <v>40452</v>
      </c>
      <c r="BS15" t="b">
        <f t="shared" si="2"/>
        <v>1</v>
      </c>
      <c r="BT15" t="b">
        <f t="shared" si="3"/>
        <v>1</v>
      </c>
    </row>
    <row r="16" spans="1:72" x14ac:dyDescent="0.35">
      <c r="A16" t="s">
        <v>90</v>
      </c>
      <c r="B16" t="s">
        <v>91</v>
      </c>
      <c r="C16">
        <v>24964</v>
      </c>
      <c r="D16">
        <v>24964</v>
      </c>
      <c r="E16">
        <v>24964</v>
      </c>
      <c r="F16">
        <v>4046</v>
      </c>
      <c r="G16">
        <v>4046</v>
      </c>
      <c r="H16">
        <v>4046</v>
      </c>
      <c r="I16">
        <v>533226206</v>
      </c>
      <c r="J16">
        <v>533226206</v>
      </c>
      <c r="K16">
        <v>533226206</v>
      </c>
      <c r="L16">
        <v>595190320</v>
      </c>
      <c r="M16">
        <v>595190320</v>
      </c>
      <c r="N16">
        <v>595190320</v>
      </c>
      <c r="BK16">
        <v>0</v>
      </c>
      <c r="BL16">
        <v>266848</v>
      </c>
      <c r="BM16" t="b">
        <f t="shared" si="0"/>
        <v>1</v>
      </c>
      <c r="BN16" t="b">
        <f t="shared" si="1"/>
        <v>1</v>
      </c>
      <c r="BO16">
        <v>105809</v>
      </c>
      <c r="BP16">
        <v>105809</v>
      </c>
      <c r="BQ16">
        <v>105809</v>
      </c>
      <c r="BR16">
        <v>0</v>
      </c>
      <c r="BS16" t="b">
        <f t="shared" si="2"/>
        <v>1</v>
      </c>
      <c r="BT16" t="b">
        <f t="shared" si="3"/>
        <v>1</v>
      </c>
    </row>
    <row r="17" spans="1:72" x14ac:dyDescent="0.35">
      <c r="A17" t="s">
        <v>92</v>
      </c>
      <c r="B17" t="s">
        <v>93</v>
      </c>
      <c r="C17">
        <v>45705</v>
      </c>
      <c r="D17">
        <v>45705</v>
      </c>
      <c r="E17">
        <v>45705</v>
      </c>
      <c r="F17">
        <v>301</v>
      </c>
      <c r="G17">
        <v>301</v>
      </c>
      <c r="H17">
        <v>301</v>
      </c>
      <c r="I17">
        <v>30878851</v>
      </c>
      <c r="J17">
        <v>30878851</v>
      </c>
      <c r="K17">
        <v>30878851</v>
      </c>
      <c r="L17">
        <v>31286393</v>
      </c>
      <c r="M17">
        <v>31286393</v>
      </c>
      <c r="N17">
        <v>31286393</v>
      </c>
      <c r="O17">
        <v>650000</v>
      </c>
      <c r="P17">
        <v>650000</v>
      </c>
      <c r="Q17">
        <v>650000</v>
      </c>
      <c r="R17">
        <v>1985656</v>
      </c>
      <c r="S17">
        <v>1985656</v>
      </c>
      <c r="T17">
        <v>1985656</v>
      </c>
      <c r="U17">
        <v>984484</v>
      </c>
      <c r="V17">
        <v>984484</v>
      </c>
      <c r="W17">
        <v>984484</v>
      </c>
      <c r="AA17">
        <v>230000</v>
      </c>
      <c r="AB17">
        <v>230000</v>
      </c>
      <c r="AC17">
        <v>230000</v>
      </c>
      <c r="AD17">
        <v>45072</v>
      </c>
      <c r="AE17">
        <v>45072</v>
      </c>
      <c r="AF17">
        <v>45072</v>
      </c>
      <c r="AG17">
        <v>600000</v>
      </c>
      <c r="AI17">
        <v>600000</v>
      </c>
      <c r="AJ17">
        <v>310000</v>
      </c>
      <c r="AL17">
        <v>310000</v>
      </c>
      <c r="AM17">
        <v>0</v>
      </c>
      <c r="AO17">
        <v>0</v>
      </c>
      <c r="AP17">
        <v>2568539</v>
      </c>
      <c r="AQ17">
        <v>2568539</v>
      </c>
      <c r="AR17">
        <v>2568539</v>
      </c>
      <c r="AS17">
        <v>165000</v>
      </c>
      <c r="AT17">
        <v>165000</v>
      </c>
      <c r="AU17">
        <v>165000</v>
      </c>
      <c r="AV17">
        <v>864649</v>
      </c>
      <c r="AW17">
        <v>864649</v>
      </c>
      <c r="AX17">
        <v>864649</v>
      </c>
      <c r="AY17">
        <v>745000</v>
      </c>
      <c r="AZ17">
        <v>745000</v>
      </c>
      <c r="BA17">
        <v>745000</v>
      </c>
      <c r="BB17">
        <v>250000</v>
      </c>
      <c r="BC17">
        <v>250000</v>
      </c>
      <c r="BD17">
        <v>250000</v>
      </c>
      <c r="BE17">
        <v>1816168</v>
      </c>
      <c r="BF17">
        <v>1816168</v>
      </c>
      <c r="BG17">
        <v>1816168</v>
      </c>
      <c r="BH17">
        <v>268546</v>
      </c>
      <c r="BI17">
        <v>268546</v>
      </c>
      <c r="BJ17">
        <v>268546</v>
      </c>
      <c r="BK17">
        <v>0</v>
      </c>
      <c r="BL17">
        <v>397</v>
      </c>
      <c r="BM17" t="b">
        <f t="shared" si="0"/>
        <v>1</v>
      </c>
      <c r="BN17" t="b">
        <f t="shared" si="1"/>
        <v>1</v>
      </c>
      <c r="BO17">
        <v>3631</v>
      </c>
      <c r="BP17">
        <v>3631</v>
      </c>
      <c r="BQ17">
        <v>3631</v>
      </c>
      <c r="BR17">
        <v>0</v>
      </c>
      <c r="BS17" t="b">
        <f t="shared" si="2"/>
        <v>1</v>
      </c>
      <c r="BT17" t="b">
        <f t="shared" si="3"/>
        <v>1</v>
      </c>
    </row>
    <row r="18" spans="1:72" x14ac:dyDescent="0.35">
      <c r="A18" t="s">
        <v>94</v>
      </c>
      <c r="B18" t="s">
        <v>95</v>
      </c>
      <c r="C18">
        <v>17021</v>
      </c>
      <c r="D18">
        <v>17021</v>
      </c>
      <c r="E18">
        <v>17021</v>
      </c>
      <c r="F18">
        <v>449</v>
      </c>
      <c r="G18">
        <v>449</v>
      </c>
      <c r="H18">
        <v>449</v>
      </c>
      <c r="I18">
        <v>17595238</v>
      </c>
      <c r="J18">
        <v>17595238</v>
      </c>
      <c r="K18">
        <v>17595238</v>
      </c>
      <c r="L18">
        <v>17632136</v>
      </c>
      <c r="M18">
        <v>17632136</v>
      </c>
      <c r="N18">
        <v>17632136</v>
      </c>
      <c r="O18">
        <v>172989</v>
      </c>
      <c r="P18">
        <v>172989</v>
      </c>
      <c r="Q18">
        <v>172989</v>
      </c>
      <c r="R18">
        <v>670799</v>
      </c>
      <c r="S18">
        <v>670799</v>
      </c>
      <c r="T18">
        <v>670799</v>
      </c>
      <c r="U18">
        <v>153339</v>
      </c>
      <c r="V18">
        <v>153339</v>
      </c>
      <c r="W18">
        <v>153339</v>
      </c>
      <c r="AA18">
        <v>887</v>
      </c>
      <c r="AB18">
        <v>887</v>
      </c>
      <c r="AC18">
        <v>887</v>
      </c>
      <c r="AD18">
        <v>404597</v>
      </c>
      <c r="AE18">
        <v>404597</v>
      </c>
      <c r="AF18">
        <v>404597</v>
      </c>
      <c r="AG18">
        <v>77143</v>
      </c>
      <c r="AI18">
        <v>77143</v>
      </c>
      <c r="AJ18">
        <v>52143</v>
      </c>
      <c r="AL18">
        <v>52143</v>
      </c>
      <c r="AM18">
        <v>16039</v>
      </c>
      <c r="AN18">
        <v>16039</v>
      </c>
      <c r="AO18">
        <v>16039</v>
      </c>
      <c r="AP18">
        <v>360688</v>
      </c>
      <c r="AQ18">
        <v>360688</v>
      </c>
      <c r="AR18">
        <v>360688</v>
      </c>
      <c r="AS18">
        <v>70063</v>
      </c>
      <c r="AT18">
        <v>70063</v>
      </c>
      <c r="AU18">
        <v>70063</v>
      </c>
      <c r="AV18">
        <v>0</v>
      </c>
      <c r="AX18">
        <v>0</v>
      </c>
      <c r="AY18">
        <v>70728</v>
      </c>
      <c r="AZ18">
        <v>70728</v>
      </c>
      <c r="BA18">
        <v>70728</v>
      </c>
      <c r="BB18">
        <v>116546</v>
      </c>
      <c r="BC18">
        <v>116546</v>
      </c>
      <c r="BD18">
        <v>116546</v>
      </c>
      <c r="BE18">
        <v>78649</v>
      </c>
      <c r="BF18">
        <v>78649</v>
      </c>
      <c r="BG18">
        <v>78649</v>
      </c>
      <c r="BH18">
        <v>241751</v>
      </c>
      <c r="BI18">
        <v>241751</v>
      </c>
      <c r="BJ18">
        <v>241751</v>
      </c>
      <c r="BK18">
        <v>0</v>
      </c>
      <c r="BL18">
        <v>0</v>
      </c>
      <c r="BM18" t="b">
        <f t="shared" si="0"/>
        <v>0</v>
      </c>
      <c r="BN18" t="b">
        <f t="shared" si="1"/>
        <v>0</v>
      </c>
      <c r="BO18">
        <v>70342</v>
      </c>
      <c r="BP18">
        <v>70342</v>
      </c>
      <c r="BQ18">
        <v>70342</v>
      </c>
      <c r="BR18">
        <v>0</v>
      </c>
      <c r="BS18" t="b">
        <f t="shared" si="2"/>
        <v>1</v>
      </c>
      <c r="BT18" t="b">
        <f t="shared" si="3"/>
        <v>1</v>
      </c>
    </row>
    <row r="19" spans="1:72" x14ac:dyDescent="0.35">
      <c r="A19" t="s">
        <v>96</v>
      </c>
      <c r="B19" t="s">
        <v>97</v>
      </c>
      <c r="C19">
        <v>49</v>
      </c>
      <c r="D19">
        <v>49</v>
      </c>
      <c r="E19">
        <v>49</v>
      </c>
      <c r="F19">
        <v>22</v>
      </c>
      <c r="G19">
        <v>22</v>
      </c>
      <c r="H19">
        <v>22</v>
      </c>
      <c r="I19">
        <v>1131091</v>
      </c>
      <c r="J19">
        <v>1131091</v>
      </c>
      <c r="K19">
        <v>1131091</v>
      </c>
      <c r="L19">
        <v>1353088</v>
      </c>
      <c r="M19">
        <v>1353088</v>
      </c>
      <c r="N19">
        <v>1353088</v>
      </c>
      <c r="O19">
        <v>135</v>
      </c>
      <c r="P19">
        <v>135</v>
      </c>
      <c r="Q19">
        <v>135</v>
      </c>
      <c r="R19">
        <v>1650</v>
      </c>
      <c r="S19">
        <v>1650</v>
      </c>
      <c r="T19">
        <v>1650</v>
      </c>
      <c r="AD19">
        <v>1650</v>
      </c>
      <c r="AE19">
        <v>1650</v>
      </c>
      <c r="AF19">
        <v>1650</v>
      </c>
      <c r="AM19">
        <v>1650</v>
      </c>
      <c r="AN19">
        <v>1650</v>
      </c>
      <c r="AO19">
        <v>1650</v>
      </c>
      <c r="AP19">
        <v>1050</v>
      </c>
      <c r="AQ19">
        <v>1050</v>
      </c>
      <c r="AR19">
        <v>1050</v>
      </c>
      <c r="AS19">
        <v>1050</v>
      </c>
      <c r="AT19">
        <v>1050</v>
      </c>
      <c r="AU19">
        <v>1050</v>
      </c>
      <c r="BH19">
        <v>74</v>
      </c>
      <c r="BI19">
        <v>74</v>
      </c>
      <c r="BJ19">
        <v>74</v>
      </c>
      <c r="BK19">
        <v>1</v>
      </c>
      <c r="BM19" t="b">
        <f t="shared" si="0"/>
        <v>0</v>
      </c>
      <c r="BN19" t="b">
        <f t="shared" si="1"/>
        <v>1</v>
      </c>
      <c r="BO19">
        <v>177</v>
      </c>
      <c r="BP19">
        <v>177</v>
      </c>
      <c r="BQ19">
        <v>177</v>
      </c>
      <c r="BR19">
        <v>0</v>
      </c>
      <c r="BS19" t="b">
        <f t="shared" si="2"/>
        <v>1</v>
      </c>
      <c r="BT19" t="b">
        <f t="shared" si="3"/>
        <v>1</v>
      </c>
    </row>
    <row r="20" spans="1:72" x14ac:dyDescent="0.35">
      <c r="A20" t="s">
        <v>98</v>
      </c>
      <c r="B20" t="s">
        <v>99</v>
      </c>
      <c r="D20">
        <v>611171</v>
      </c>
      <c r="E20">
        <v>611171</v>
      </c>
      <c r="G20">
        <v>350</v>
      </c>
      <c r="H20">
        <v>350</v>
      </c>
      <c r="I20">
        <v>8132125</v>
      </c>
      <c r="J20">
        <v>8132125</v>
      </c>
      <c r="K20">
        <v>8132125</v>
      </c>
      <c r="L20">
        <v>6942804</v>
      </c>
      <c r="M20">
        <v>6942804</v>
      </c>
      <c r="N20">
        <v>6942804</v>
      </c>
      <c r="O20">
        <v>71108</v>
      </c>
      <c r="P20">
        <v>71108</v>
      </c>
      <c r="Q20">
        <v>71108</v>
      </c>
      <c r="U20">
        <v>166650</v>
      </c>
      <c r="V20">
        <v>166650</v>
      </c>
      <c r="W20">
        <v>166650</v>
      </c>
      <c r="AA20">
        <v>20940</v>
      </c>
      <c r="AB20">
        <v>20940</v>
      </c>
      <c r="AC20">
        <v>20940</v>
      </c>
      <c r="AD20">
        <v>117282</v>
      </c>
      <c r="AE20">
        <v>117282</v>
      </c>
      <c r="AF20">
        <v>117282</v>
      </c>
      <c r="AG20">
        <v>112074</v>
      </c>
      <c r="AI20">
        <v>112074</v>
      </c>
      <c r="AM20">
        <v>71108</v>
      </c>
      <c r="AN20">
        <v>71108</v>
      </c>
      <c r="AO20">
        <v>71108</v>
      </c>
      <c r="AP20">
        <v>3519095</v>
      </c>
      <c r="AQ20">
        <v>3519095</v>
      </c>
      <c r="AR20">
        <v>3519095</v>
      </c>
      <c r="AS20">
        <v>2230</v>
      </c>
      <c r="AT20">
        <v>2230</v>
      </c>
      <c r="AU20">
        <v>2230</v>
      </c>
      <c r="AV20">
        <v>5832</v>
      </c>
      <c r="AW20">
        <v>5832</v>
      </c>
      <c r="AX20">
        <v>5832</v>
      </c>
      <c r="AY20">
        <v>282394</v>
      </c>
      <c r="AZ20">
        <v>282394</v>
      </c>
      <c r="BA20">
        <v>282394</v>
      </c>
      <c r="BB20">
        <v>75805</v>
      </c>
      <c r="BC20">
        <v>75805</v>
      </c>
      <c r="BD20">
        <v>75805</v>
      </c>
      <c r="BE20">
        <v>21990</v>
      </c>
      <c r="BF20">
        <v>21990</v>
      </c>
      <c r="BG20">
        <v>21990</v>
      </c>
      <c r="BK20">
        <v>0</v>
      </c>
      <c r="BM20" t="b">
        <f t="shared" si="0"/>
        <v>0</v>
      </c>
      <c r="BN20" t="b">
        <f t="shared" si="1"/>
        <v>0</v>
      </c>
      <c r="BO20">
        <v>22356</v>
      </c>
      <c r="BP20">
        <v>22356</v>
      </c>
      <c r="BQ20">
        <v>22356</v>
      </c>
      <c r="BR20">
        <v>0</v>
      </c>
      <c r="BS20" t="b">
        <f t="shared" si="2"/>
        <v>1</v>
      </c>
      <c r="BT20" t="b">
        <f t="shared" si="3"/>
        <v>1</v>
      </c>
    </row>
    <row r="21" spans="1:72" x14ac:dyDescent="0.35">
      <c r="A21" t="s">
        <v>100</v>
      </c>
      <c r="B21" t="s">
        <v>101</v>
      </c>
      <c r="C21">
        <v>12600</v>
      </c>
      <c r="D21">
        <v>12600</v>
      </c>
      <c r="E21">
        <v>12600</v>
      </c>
      <c r="F21">
        <v>65</v>
      </c>
      <c r="G21">
        <v>65</v>
      </c>
      <c r="H21">
        <v>65</v>
      </c>
      <c r="I21">
        <v>2829027</v>
      </c>
      <c r="J21">
        <v>2829027</v>
      </c>
      <c r="K21">
        <v>2829027</v>
      </c>
      <c r="L21">
        <v>2325552</v>
      </c>
      <c r="M21">
        <v>2325552</v>
      </c>
      <c r="N21">
        <v>2325552</v>
      </c>
      <c r="O21">
        <v>296436</v>
      </c>
      <c r="P21">
        <v>296436</v>
      </c>
      <c r="Q21">
        <v>296436</v>
      </c>
      <c r="R21">
        <v>6161925</v>
      </c>
      <c r="S21">
        <v>6161925</v>
      </c>
      <c r="T21">
        <v>6161925</v>
      </c>
      <c r="U21">
        <v>387429</v>
      </c>
      <c r="V21">
        <v>387429</v>
      </c>
      <c r="W21">
        <v>387429</v>
      </c>
      <c r="AA21">
        <v>9156</v>
      </c>
      <c r="AB21">
        <v>9156</v>
      </c>
      <c r="AC21">
        <v>9156</v>
      </c>
      <c r="AD21">
        <v>45066</v>
      </c>
      <c r="AF21">
        <v>45066</v>
      </c>
      <c r="AG21">
        <v>90993</v>
      </c>
      <c r="AI21">
        <v>90993</v>
      </c>
      <c r="AM21">
        <v>30000</v>
      </c>
      <c r="AN21">
        <v>30000</v>
      </c>
      <c r="AO21">
        <v>30000</v>
      </c>
      <c r="AP21">
        <v>5916309</v>
      </c>
      <c r="AQ21">
        <v>5916309</v>
      </c>
      <c r="AR21">
        <v>5916309</v>
      </c>
      <c r="AS21">
        <v>9723</v>
      </c>
      <c r="AT21">
        <v>9723</v>
      </c>
      <c r="AU21">
        <v>9723</v>
      </c>
      <c r="AY21">
        <v>3248168</v>
      </c>
      <c r="AZ21">
        <v>3248168</v>
      </c>
      <c r="BA21">
        <v>3248168</v>
      </c>
      <c r="BB21">
        <v>124866</v>
      </c>
      <c r="BC21">
        <v>124866</v>
      </c>
      <c r="BD21">
        <v>124866</v>
      </c>
      <c r="BE21">
        <v>4557</v>
      </c>
      <c r="BF21">
        <v>4557</v>
      </c>
      <c r="BG21">
        <v>4557</v>
      </c>
      <c r="BH21">
        <v>2046</v>
      </c>
      <c r="BI21">
        <v>2046</v>
      </c>
      <c r="BJ21">
        <v>2046</v>
      </c>
      <c r="BK21">
        <v>0</v>
      </c>
      <c r="BL21">
        <v>3359</v>
      </c>
      <c r="BM21" t="b">
        <f t="shared" si="0"/>
        <v>1</v>
      </c>
      <c r="BN21" t="b">
        <f t="shared" si="1"/>
        <v>1</v>
      </c>
      <c r="BO21">
        <v>958</v>
      </c>
      <c r="BP21">
        <v>958</v>
      </c>
      <c r="BQ21">
        <v>958</v>
      </c>
      <c r="BR21">
        <v>0</v>
      </c>
      <c r="BS21" t="b">
        <f t="shared" si="2"/>
        <v>1</v>
      </c>
      <c r="BT21" t="b">
        <f t="shared" si="3"/>
        <v>1</v>
      </c>
    </row>
    <row r="22" spans="1:72" x14ac:dyDescent="0.35">
      <c r="A22" t="s">
        <v>102</v>
      </c>
      <c r="B22" t="s">
        <v>103</v>
      </c>
      <c r="C22">
        <v>1780</v>
      </c>
      <c r="D22">
        <v>1780</v>
      </c>
      <c r="E22">
        <v>1780</v>
      </c>
      <c r="F22">
        <v>0</v>
      </c>
      <c r="H22">
        <v>0</v>
      </c>
      <c r="I22">
        <v>32393</v>
      </c>
      <c r="J22">
        <v>32393</v>
      </c>
      <c r="K22">
        <v>32393</v>
      </c>
      <c r="L22">
        <v>44010</v>
      </c>
      <c r="M22">
        <v>44010</v>
      </c>
      <c r="N22">
        <v>44010</v>
      </c>
      <c r="BK22">
        <v>1</v>
      </c>
      <c r="BM22" t="b">
        <f t="shared" si="0"/>
        <v>0</v>
      </c>
      <c r="BN22" t="b">
        <f t="shared" si="1"/>
        <v>1</v>
      </c>
      <c r="BR22">
        <v>0</v>
      </c>
      <c r="BS22" t="b">
        <f t="shared" si="2"/>
        <v>0</v>
      </c>
      <c r="BT22" t="b">
        <f t="shared" si="3"/>
        <v>0</v>
      </c>
    </row>
    <row r="23" spans="1:72" x14ac:dyDescent="0.35">
      <c r="A23" t="s">
        <v>104</v>
      </c>
      <c r="B23" t="s">
        <v>105</v>
      </c>
      <c r="D23">
        <v>1268</v>
      </c>
      <c r="E23">
        <v>1268</v>
      </c>
      <c r="G23">
        <v>22</v>
      </c>
      <c r="H23">
        <v>22</v>
      </c>
      <c r="J23">
        <v>765904</v>
      </c>
      <c r="K23">
        <v>765904</v>
      </c>
      <c r="M23">
        <v>780259</v>
      </c>
      <c r="N23">
        <v>780259</v>
      </c>
      <c r="P23">
        <v>53478</v>
      </c>
      <c r="Q23">
        <v>53478</v>
      </c>
      <c r="S23">
        <v>2028</v>
      </c>
      <c r="T23">
        <v>2028</v>
      </c>
      <c r="AB23">
        <v>8910</v>
      </c>
      <c r="AC23">
        <v>8910</v>
      </c>
      <c r="AE23">
        <v>29568</v>
      </c>
      <c r="AF23">
        <v>29568</v>
      </c>
      <c r="AN23">
        <v>53478</v>
      </c>
      <c r="AO23">
        <v>53478</v>
      </c>
      <c r="AQ23">
        <v>5928</v>
      </c>
      <c r="AR23">
        <v>5928</v>
      </c>
      <c r="AT23">
        <v>2100</v>
      </c>
      <c r="AU23">
        <v>2100</v>
      </c>
      <c r="AZ23">
        <v>9276</v>
      </c>
      <c r="BA23">
        <v>9276</v>
      </c>
      <c r="BC23">
        <v>2472</v>
      </c>
      <c r="BD23">
        <v>2472</v>
      </c>
      <c r="BI23">
        <v>4200</v>
      </c>
      <c r="BJ23">
        <v>4200</v>
      </c>
      <c r="BM23" t="b">
        <f t="shared" si="0"/>
        <v>0</v>
      </c>
      <c r="BN23" t="b">
        <f t="shared" si="1"/>
        <v>0</v>
      </c>
      <c r="BP23">
        <v>1374</v>
      </c>
      <c r="BQ23">
        <v>1374</v>
      </c>
      <c r="BS23" t="b">
        <f t="shared" si="2"/>
        <v>1</v>
      </c>
      <c r="BT23" t="b">
        <f t="shared" si="3"/>
        <v>1</v>
      </c>
    </row>
    <row r="24" spans="1:72" x14ac:dyDescent="0.35">
      <c r="A24" t="s">
        <v>106</v>
      </c>
      <c r="B24" t="s">
        <v>107</v>
      </c>
      <c r="D24">
        <v>12000</v>
      </c>
      <c r="E24">
        <v>12000</v>
      </c>
      <c r="G24">
        <v>1810</v>
      </c>
      <c r="H24">
        <v>1810</v>
      </c>
      <c r="J24">
        <v>995000</v>
      </c>
      <c r="K24">
        <v>995000</v>
      </c>
      <c r="M24">
        <v>72740</v>
      </c>
      <c r="N24">
        <v>72740</v>
      </c>
      <c r="P24">
        <v>7182</v>
      </c>
      <c r="Q24">
        <v>7182</v>
      </c>
      <c r="S24">
        <v>73366</v>
      </c>
      <c r="T24">
        <v>73366</v>
      </c>
      <c r="V24">
        <v>4152</v>
      </c>
      <c r="W24">
        <v>4152</v>
      </c>
      <c r="AB24">
        <v>4152</v>
      </c>
      <c r="AC24">
        <v>4152</v>
      </c>
      <c r="AE24">
        <v>18517</v>
      </c>
      <c r="AF24">
        <v>18517</v>
      </c>
      <c r="AH24">
        <v>661</v>
      </c>
      <c r="AI24">
        <v>661</v>
      </c>
      <c r="AN24">
        <v>10523</v>
      </c>
      <c r="AO24">
        <v>10523</v>
      </c>
      <c r="AQ24">
        <v>4678</v>
      </c>
      <c r="AR24">
        <v>4678</v>
      </c>
      <c r="AT24">
        <v>715</v>
      </c>
      <c r="AU24">
        <v>715</v>
      </c>
      <c r="AW24">
        <v>169324</v>
      </c>
      <c r="AX24">
        <v>169324</v>
      </c>
      <c r="AZ24">
        <v>6225</v>
      </c>
      <c r="BA24">
        <v>6225</v>
      </c>
      <c r="BC24">
        <v>18957</v>
      </c>
      <c r="BD24">
        <v>18957</v>
      </c>
      <c r="BF24">
        <v>547892</v>
      </c>
      <c r="BG24">
        <v>547892</v>
      </c>
      <c r="BI24">
        <v>25167</v>
      </c>
      <c r="BJ24">
        <v>25167</v>
      </c>
      <c r="BM24" t="b">
        <f t="shared" si="0"/>
        <v>0</v>
      </c>
      <c r="BN24" t="b">
        <f t="shared" si="1"/>
        <v>0</v>
      </c>
      <c r="BP24">
        <v>6792</v>
      </c>
      <c r="BQ24">
        <v>6792</v>
      </c>
      <c r="BS24" t="b">
        <f t="shared" si="2"/>
        <v>1</v>
      </c>
      <c r="BT24" t="b">
        <f t="shared" si="3"/>
        <v>1</v>
      </c>
    </row>
    <row r="25" spans="1:72" x14ac:dyDescent="0.35">
      <c r="A25" t="s">
        <v>108</v>
      </c>
      <c r="B25" t="s">
        <v>109</v>
      </c>
      <c r="C25">
        <v>841</v>
      </c>
      <c r="E25">
        <v>841</v>
      </c>
      <c r="F25">
        <v>15</v>
      </c>
      <c r="G25">
        <v>15</v>
      </c>
      <c r="H25">
        <v>15</v>
      </c>
      <c r="I25">
        <v>1079880</v>
      </c>
      <c r="J25">
        <v>1079880</v>
      </c>
      <c r="K25">
        <v>1079880</v>
      </c>
      <c r="L25">
        <v>1014983</v>
      </c>
      <c r="M25">
        <v>1014983</v>
      </c>
      <c r="N25">
        <v>1014983</v>
      </c>
      <c r="R25">
        <v>303</v>
      </c>
      <c r="S25">
        <v>303</v>
      </c>
      <c r="T25">
        <v>303</v>
      </c>
      <c r="AP25">
        <v>4425</v>
      </c>
      <c r="AQ25">
        <v>4425</v>
      </c>
      <c r="AR25">
        <v>4425</v>
      </c>
      <c r="BH25">
        <v>4768</v>
      </c>
      <c r="BI25">
        <v>4768</v>
      </c>
      <c r="BJ25">
        <v>4768</v>
      </c>
      <c r="BK25">
        <v>1</v>
      </c>
      <c r="BM25" t="b">
        <f t="shared" si="0"/>
        <v>0</v>
      </c>
      <c r="BN25" t="b">
        <f t="shared" si="1"/>
        <v>1</v>
      </c>
      <c r="BO25">
        <v>468</v>
      </c>
      <c r="BP25">
        <v>468</v>
      </c>
      <c r="BQ25">
        <v>468</v>
      </c>
      <c r="BR25">
        <v>0</v>
      </c>
      <c r="BS25" t="b">
        <f t="shared" si="2"/>
        <v>1</v>
      </c>
      <c r="BT25" t="b">
        <f t="shared" si="3"/>
        <v>1</v>
      </c>
    </row>
    <row r="26" spans="1:72" x14ac:dyDescent="0.35">
      <c r="A26" t="s">
        <v>110</v>
      </c>
      <c r="B26" t="s">
        <v>111</v>
      </c>
      <c r="D26">
        <v>7831</v>
      </c>
      <c r="E26">
        <v>7831</v>
      </c>
      <c r="G26">
        <v>13</v>
      </c>
      <c r="H26">
        <v>13</v>
      </c>
      <c r="J26">
        <v>363626</v>
      </c>
      <c r="K26">
        <v>363626</v>
      </c>
      <c r="M26">
        <v>440745</v>
      </c>
      <c r="N26">
        <v>440745</v>
      </c>
      <c r="P26">
        <v>107</v>
      </c>
      <c r="Q26">
        <v>107</v>
      </c>
      <c r="V26">
        <v>1108</v>
      </c>
      <c r="W26">
        <v>1108</v>
      </c>
      <c r="AH26">
        <v>391</v>
      </c>
      <c r="AI26">
        <v>391</v>
      </c>
      <c r="AQ26">
        <v>388</v>
      </c>
      <c r="AR26">
        <v>388</v>
      </c>
      <c r="AZ26">
        <v>21050</v>
      </c>
      <c r="BA26">
        <v>21050</v>
      </c>
      <c r="BF26">
        <v>43</v>
      </c>
      <c r="BG26">
        <v>43</v>
      </c>
      <c r="BM26" t="b">
        <f t="shared" si="0"/>
        <v>0</v>
      </c>
      <c r="BN26" t="b">
        <f t="shared" si="1"/>
        <v>0</v>
      </c>
      <c r="BP26">
        <v>1108</v>
      </c>
      <c r="BQ26">
        <v>1108</v>
      </c>
      <c r="BS26" t="b">
        <f t="shared" si="2"/>
        <v>1</v>
      </c>
      <c r="BT26" t="b">
        <f t="shared" si="3"/>
        <v>1</v>
      </c>
    </row>
    <row r="27" spans="1:72" x14ac:dyDescent="0.35">
      <c r="A27" t="s">
        <v>112</v>
      </c>
      <c r="B27" t="s">
        <v>113</v>
      </c>
      <c r="C27">
        <v>13000</v>
      </c>
      <c r="D27">
        <v>13000</v>
      </c>
      <c r="E27">
        <v>13000</v>
      </c>
      <c r="F27">
        <v>64</v>
      </c>
      <c r="G27">
        <v>64</v>
      </c>
      <c r="H27">
        <v>64</v>
      </c>
      <c r="I27">
        <v>2299976</v>
      </c>
      <c r="J27">
        <v>2299976</v>
      </c>
      <c r="K27">
        <v>2299976</v>
      </c>
      <c r="L27">
        <v>2010991</v>
      </c>
      <c r="M27">
        <v>2010991</v>
      </c>
      <c r="N27">
        <v>2010991</v>
      </c>
      <c r="O27">
        <v>6196</v>
      </c>
      <c r="Q27">
        <v>6196</v>
      </c>
      <c r="R27">
        <v>6325</v>
      </c>
      <c r="T27">
        <v>6325</v>
      </c>
      <c r="U27">
        <v>100135</v>
      </c>
      <c r="V27">
        <v>100135</v>
      </c>
      <c r="W27">
        <v>100135</v>
      </c>
      <c r="AA27">
        <v>181</v>
      </c>
      <c r="AC27">
        <v>181</v>
      </c>
      <c r="AD27">
        <v>6211</v>
      </c>
      <c r="AE27">
        <v>6211</v>
      </c>
      <c r="AF27">
        <v>6211</v>
      </c>
      <c r="AG27">
        <v>85</v>
      </c>
      <c r="AI27">
        <v>85</v>
      </c>
      <c r="AJ27">
        <v>50171</v>
      </c>
      <c r="AK27">
        <v>50171</v>
      </c>
      <c r="AL27">
        <v>50171</v>
      </c>
      <c r="AM27">
        <v>549</v>
      </c>
      <c r="AO27">
        <v>549</v>
      </c>
      <c r="AP27">
        <v>608381</v>
      </c>
      <c r="AR27">
        <v>608381</v>
      </c>
      <c r="AS27">
        <v>119</v>
      </c>
      <c r="AU27">
        <v>119</v>
      </c>
      <c r="AV27">
        <v>489210</v>
      </c>
      <c r="AX27">
        <v>489210</v>
      </c>
      <c r="AY27">
        <v>424</v>
      </c>
      <c r="AZ27">
        <v>424</v>
      </c>
      <c r="BA27">
        <v>424</v>
      </c>
      <c r="BB27">
        <v>1</v>
      </c>
      <c r="BD27">
        <v>1</v>
      </c>
      <c r="BE27">
        <v>61065</v>
      </c>
      <c r="BF27">
        <v>61065</v>
      </c>
      <c r="BG27">
        <v>61065</v>
      </c>
      <c r="BH27">
        <v>114</v>
      </c>
      <c r="BJ27">
        <v>114</v>
      </c>
      <c r="BK27">
        <v>0</v>
      </c>
      <c r="BL27">
        <v>419</v>
      </c>
      <c r="BM27" t="b">
        <f t="shared" si="0"/>
        <v>1</v>
      </c>
      <c r="BN27" t="b">
        <f t="shared" si="1"/>
        <v>1</v>
      </c>
      <c r="BO27">
        <v>1745</v>
      </c>
      <c r="BP27">
        <v>1745</v>
      </c>
      <c r="BQ27">
        <v>1745</v>
      </c>
      <c r="BR27">
        <v>0</v>
      </c>
      <c r="BS27" t="b">
        <f t="shared" si="2"/>
        <v>1</v>
      </c>
      <c r="BT27" t="b">
        <f t="shared" si="3"/>
        <v>1</v>
      </c>
    </row>
    <row r="28" spans="1:72" x14ac:dyDescent="0.35">
      <c r="A28" t="s">
        <v>114</v>
      </c>
      <c r="B28" t="s">
        <v>115</v>
      </c>
      <c r="D28">
        <v>13330</v>
      </c>
      <c r="E28">
        <v>13330</v>
      </c>
      <c r="G28">
        <v>370</v>
      </c>
      <c r="H28">
        <v>370</v>
      </c>
      <c r="J28">
        <v>5728918</v>
      </c>
      <c r="K28">
        <v>5728918</v>
      </c>
      <c r="M28">
        <v>6102617</v>
      </c>
      <c r="N28">
        <v>6102617</v>
      </c>
      <c r="P28">
        <v>57000</v>
      </c>
      <c r="Q28">
        <v>57000</v>
      </c>
      <c r="S28">
        <v>249168</v>
      </c>
      <c r="T28">
        <v>249168</v>
      </c>
      <c r="V28">
        <v>47233</v>
      </c>
      <c r="W28">
        <v>47233</v>
      </c>
      <c r="AB28">
        <v>1935</v>
      </c>
      <c r="AC28">
        <v>1935</v>
      </c>
      <c r="AE28">
        <v>69674</v>
      </c>
      <c r="AF28">
        <v>69674</v>
      </c>
      <c r="AH28">
        <v>9913</v>
      </c>
      <c r="AI28">
        <v>9913</v>
      </c>
      <c r="AK28">
        <v>34853</v>
      </c>
      <c r="AL28">
        <v>34853</v>
      </c>
      <c r="AN28">
        <v>7177</v>
      </c>
      <c r="AO28">
        <v>7177</v>
      </c>
      <c r="AQ28">
        <v>26864</v>
      </c>
      <c r="AR28">
        <v>26864</v>
      </c>
      <c r="AT28">
        <v>37759</v>
      </c>
      <c r="AU28">
        <v>37759</v>
      </c>
      <c r="AW28">
        <v>59978</v>
      </c>
      <c r="AX28">
        <v>59978</v>
      </c>
      <c r="AZ28">
        <v>19898</v>
      </c>
      <c r="BA28">
        <v>19898</v>
      </c>
      <c r="BC28">
        <v>4153</v>
      </c>
      <c r="BD28">
        <v>4153</v>
      </c>
      <c r="BF28">
        <v>26840</v>
      </c>
      <c r="BG28">
        <v>26840</v>
      </c>
      <c r="BI28">
        <v>20481</v>
      </c>
      <c r="BJ28">
        <v>20481</v>
      </c>
      <c r="BM28" t="b">
        <f t="shared" si="0"/>
        <v>0</v>
      </c>
      <c r="BN28" t="b">
        <f t="shared" si="1"/>
        <v>0</v>
      </c>
      <c r="BP28">
        <v>23975</v>
      </c>
      <c r="BQ28">
        <v>23975</v>
      </c>
      <c r="BS28" t="b">
        <f t="shared" si="2"/>
        <v>1</v>
      </c>
      <c r="BT28" t="b">
        <f t="shared" si="3"/>
        <v>1</v>
      </c>
    </row>
    <row r="29" spans="1:72" x14ac:dyDescent="0.35">
      <c r="A29" t="s">
        <v>116</v>
      </c>
      <c r="B29" t="s">
        <v>117</v>
      </c>
      <c r="C29">
        <v>391</v>
      </c>
      <c r="D29">
        <v>391</v>
      </c>
      <c r="E29">
        <v>391</v>
      </c>
      <c r="F29">
        <v>9</v>
      </c>
      <c r="H29">
        <v>9</v>
      </c>
      <c r="J29">
        <v>516550</v>
      </c>
      <c r="K29">
        <v>516550</v>
      </c>
      <c r="M29">
        <v>500651</v>
      </c>
      <c r="N29">
        <v>500651</v>
      </c>
      <c r="P29">
        <v>204</v>
      </c>
      <c r="Q29">
        <v>204</v>
      </c>
      <c r="S29">
        <v>1691</v>
      </c>
      <c r="T29">
        <v>1691</v>
      </c>
      <c r="V29">
        <v>183</v>
      </c>
      <c r="W29">
        <v>183</v>
      </c>
      <c r="AB29">
        <v>2</v>
      </c>
      <c r="AC29">
        <v>2</v>
      </c>
      <c r="AE29">
        <v>204</v>
      </c>
      <c r="AF29">
        <v>204</v>
      </c>
      <c r="AN29">
        <v>204</v>
      </c>
      <c r="AO29">
        <v>204</v>
      </c>
      <c r="AQ29">
        <v>2363</v>
      </c>
      <c r="AR29">
        <v>2363</v>
      </c>
      <c r="AZ29">
        <v>107</v>
      </c>
      <c r="BA29">
        <v>107</v>
      </c>
      <c r="BC29">
        <v>371</v>
      </c>
      <c r="BD29">
        <v>371</v>
      </c>
      <c r="BM29" t="b">
        <f t="shared" si="0"/>
        <v>0</v>
      </c>
      <c r="BN29" t="b">
        <f t="shared" si="1"/>
        <v>0</v>
      </c>
      <c r="BP29">
        <v>1483</v>
      </c>
      <c r="BQ29">
        <v>1483</v>
      </c>
      <c r="BS29" t="b">
        <f t="shared" si="2"/>
        <v>1</v>
      </c>
      <c r="BT29" t="b">
        <f t="shared" si="3"/>
        <v>1</v>
      </c>
    </row>
    <row r="30" spans="1:72" x14ac:dyDescent="0.35">
      <c r="A30" t="s">
        <v>118</v>
      </c>
      <c r="B30" t="s">
        <v>119</v>
      </c>
      <c r="C30">
        <v>13911</v>
      </c>
      <c r="D30">
        <v>13911</v>
      </c>
      <c r="E30">
        <v>13911</v>
      </c>
      <c r="F30">
        <v>2630</v>
      </c>
      <c r="G30">
        <v>2630</v>
      </c>
      <c r="H30">
        <v>2630</v>
      </c>
      <c r="I30">
        <v>352568299</v>
      </c>
      <c r="J30">
        <v>328393</v>
      </c>
      <c r="K30">
        <v>352568299</v>
      </c>
      <c r="L30">
        <v>357429318</v>
      </c>
      <c r="M30">
        <v>329752</v>
      </c>
      <c r="N30">
        <v>357429318</v>
      </c>
      <c r="P30">
        <v>110646</v>
      </c>
      <c r="Q30">
        <v>110646</v>
      </c>
      <c r="S30">
        <v>182213</v>
      </c>
      <c r="T30">
        <v>182213</v>
      </c>
      <c r="V30">
        <v>189785</v>
      </c>
      <c r="W30">
        <v>189785</v>
      </c>
      <c r="AB30">
        <v>10195</v>
      </c>
      <c r="AC30">
        <v>10195</v>
      </c>
      <c r="AE30">
        <v>339</v>
      </c>
      <c r="AF30">
        <v>339</v>
      </c>
      <c r="AH30">
        <v>735</v>
      </c>
      <c r="AI30">
        <v>735</v>
      </c>
      <c r="AK30">
        <v>580</v>
      </c>
      <c r="AL30">
        <v>580</v>
      </c>
      <c r="AN30">
        <v>72580</v>
      </c>
      <c r="AO30">
        <v>72580</v>
      </c>
      <c r="AQ30">
        <v>177220</v>
      </c>
      <c r="AR30">
        <v>177220</v>
      </c>
      <c r="AT30">
        <v>22537</v>
      </c>
      <c r="AU30">
        <v>22537</v>
      </c>
      <c r="BC30">
        <v>11977</v>
      </c>
      <c r="BD30">
        <v>11977</v>
      </c>
      <c r="BI30">
        <v>1398593</v>
      </c>
      <c r="BJ30">
        <v>1398593</v>
      </c>
      <c r="BM30" t="b">
        <f t="shared" si="0"/>
        <v>0</v>
      </c>
      <c r="BN30" t="b">
        <f t="shared" si="1"/>
        <v>0</v>
      </c>
      <c r="BP30">
        <v>869000</v>
      </c>
      <c r="BQ30">
        <v>869000</v>
      </c>
      <c r="BS30" t="b">
        <f t="shared" si="2"/>
        <v>1</v>
      </c>
      <c r="BT30" t="b">
        <f t="shared" si="3"/>
        <v>1</v>
      </c>
    </row>
    <row r="31" spans="1:72" x14ac:dyDescent="0.35">
      <c r="A31" t="s">
        <v>120</v>
      </c>
      <c r="B31" t="s">
        <v>121</v>
      </c>
      <c r="C31">
        <v>503311</v>
      </c>
      <c r="D31">
        <v>503311</v>
      </c>
      <c r="E31">
        <v>503311</v>
      </c>
      <c r="F31">
        <v>134</v>
      </c>
      <c r="G31">
        <v>134</v>
      </c>
      <c r="H31">
        <v>134</v>
      </c>
      <c r="I31">
        <v>26834218</v>
      </c>
      <c r="J31">
        <v>26834218</v>
      </c>
      <c r="K31">
        <v>26834218</v>
      </c>
      <c r="L31">
        <v>26165740</v>
      </c>
      <c r="M31">
        <v>26165740</v>
      </c>
      <c r="N31">
        <v>26165740</v>
      </c>
      <c r="O31">
        <v>402800</v>
      </c>
      <c r="P31">
        <v>402800</v>
      </c>
      <c r="Q31">
        <v>402800</v>
      </c>
      <c r="R31">
        <v>3797589</v>
      </c>
      <c r="S31">
        <v>3797589</v>
      </c>
      <c r="T31">
        <v>3797589</v>
      </c>
      <c r="U31">
        <v>1484209</v>
      </c>
      <c r="V31">
        <v>1484209</v>
      </c>
      <c r="W31">
        <v>1484209</v>
      </c>
      <c r="AA31">
        <v>316221</v>
      </c>
      <c r="AB31">
        <v>316221</v>
      </c>
      <c r="AC31">
        <v>316221</v>
      </c>
      <c r="AD31">
        <v>971275</v>
      </c>
      <c r="AE31">
        <v>971275</v>
      </c>
      <c r="AF31">
        <v>971275</v>
      </c>
      <c r="AG31">
        <v>408778</v>
      </c>
      <c r="AI31">
        <v>408778</v>
      </c>
      <c r="AJ31">
        <v>1896195</v>
      </c>
      <c r="AL31">
        <v>1896195</v>
      </c>
      <c r="AP31">
        <v>6953551</v>
      </c>
      <c r="AQ31">
        <v>6953551</v>
      </c>
      <c r="AR31">
        <v>6953551</v>
      </c>
      <c r="AS31">
        <v>122733</v>
      </c>
      <c r="AT31">
        <v>122733</v>
      </c>
      <c r="AU31">
        <v>122733</v>
      </c>
      <c r="AV31">
        <v>1168728</v>
      </c>
      <c r="AW31">
        <v>1168728</v>
      </c>
      <c r="AX31">
        <v>1168728</v>
      </c>
      <c r="AY31">
        <v>3288497</v>
      </c>
      <c r="AZ31">
        <v>3288497</v>
      </c>
      <c r="BA31">
        <v>3288497</v>
      </c>
      <c r="BB31">
        <v>510337</v>
      </c>
      <c r="BC31">
        <v>510337</v>
      </c>
      <c r="BD31">
        <v>510337</v>
      </c>
      <c r="BE31">
        <v>281432</v>
      </c>
      <c r="BF31">
        <v>281432</v>
      </c>
      <c r="BG31">
        <v>281432</v>
      </c>
      <c r="BH31">
        <v>642910</v>
      </c>
      <c r="BI31">
        <v>642910</v>
      </c>
      <c r="BJ31">
        <v>642910</v>
      </c>
      <c r="BK31">
        <v>0</v>
      </c>
      <c r="BL31">
        <v>171162</v>
      </c>
      <c r="BM31" t="b">
        <f t="shared" si="0"/>
        <v>1</v>
      </c>
      <c r="BN31" t="b">
        <f t="shared" si="1"/>
        <v>1</v>
      </c>
      <c r="BO31">
        <v>11681</v>
      </c>
      <c r="BP31">
        <v>11681</v>
      </c>
      <c r="BQ31">
        <v>11681</v>
      </c>
      <c r="BR31">
        <v>0</v>
      </c>
      <c r="BS31" t="b">
        <f t="shared" si="2"/>
        <v>1</v>
      </c>
      <c r="BT31" t="b">
        <f t="shared" si="3"/>
        <v>1</v>
      </c>
    </row>
    <row r="32" spans="1:72" x14ac:dyDescent="0.35">
      <c r="A32" t="s">
        <v>122</v>
      </c>
      <c r="B32" t="s">
        <v>123</v>
      </c>
      <c r="D32">
        <v>18040</v>
      </c>
      <c r="E32">
        <v>18040</v>
      </c>
      <c r="G32">
        <v>108</v>
      </c>
      <c r="H32">
        <v>108</v>
      </c>
      <c r="J32">
        <v>2730094</v>
      </c>
      <c r="K32">
        <v>2730094</v>
      </c>
      <c r="M32">
        <v>2635525</v>
      </c>
      <c r="N32">
        <v>2635525</v>
      </c>
      <c r="P32">
        <v>8750</v>
      </c>
      <c r="Q32">
        <v>8750</v>
      </c>
      <c r="S32">
        <v>850</v>
      </c>
      <c r="T32">
        <v>850</v>
      </c>
      <c r="V32">
        <v>7762</v>
      </c>
      <c r="W32">
        <v>7762</v>
      </c>
      <c r="AB32">
        <v>1351</v>
      </c>
      <c r="AC32">
        <v>1351</v>
      </c>
      <c r="AE32">
        <v>80</v>
      </c>
      <c r="AF32">
        <v>80</v>
      </c>
      <c r="AN32">
        <v>812</v>
      </c>
      <c r="AO32">
        <v>812</v>
      </c>
      <c r="AQ32">
        <v>253675</v>
      </c>
      <c r="AR32">
        <v>253675</v>
      </c>
      <c r="AT32">
        <v>200893</v>
      </c>
      <c r="AU32">
        <v>200893</v>
      </c>
      <c r="AW32">
        <v>10247</v>
      </c>
      <c r="AX32">
        <v>10247</v>
      </c>
      <c r="AZ32">
        <v>3020</v>
      </c>
      <c r="BA32">
        <v>3020</v>
      </c>
      <c r="BC32">
        <v>43437</v>
      </c>
      <c r="BD32">
        <v>43437</v>
      </c>
      <c r="BF32">
        <v>46932</v>
      </c>
      <c r="BG32">
        <v>46932</v>
      </c>
      <c r="BI32">
        <v>850</v>
      </c>
      <c r="BJ32">
        <v>850</v>
      </c>
      <c r="BM32" t="b">
        <f t="shared" si="0"/>
        <v>0</v>
      </c>
      <c r="BN32" t="b">
        <f t="shared" si="1"/>
        <v>0</v>
      </c>
      <c r="BP32">
        <v>1478</v>
      </c>
      <c r="BQ32">
        <v>1478</v>
      </c>
      <c r="BS32" t="b">
        <f t="shared" si="2"/>
        <v>1</v>
      </c>
      <c r="BT32" t="b">
        <f t="shared" si="3"/>
        <v>1</v>
      </c>
    </row>
    <row r="33" spans="1:72" x14ac:dyDescent="0.35">
      <c r="A33" t="s">
        <v>124</v>
      </c>
      <c r="B33" t="s">
        <v>125</v>
      </c>
      <c r="C33">
        <v>30500</v>
      </c>
      <c r="E33">
        <v>30500</v>
      </c>
      <c r="F33">
        <v>31</v>
      </c>
      <c r="G33">
        <v>31</v>
      </c>
      <c r="H33">
        <v>31</v>
      </c>
      <c r="I33">
        <v>277803</v>
      </c>
      <c r="J33">
        <v>277803</v>
      </c>
      <c r="K33">
        <v>277803</v>
      </c>
      <c r="L33">
        <v>1679419</v>
      </c>
      <c r="M33">
        <v>1679419</v>
      </c>
      <c r="N33">
        <v>1679419</v>
      </c>
      <c r="O33">
        <v>22334</v>
      </c>
      <c r="P33">
        <v>22334</v>
      </c>
      <c r="Q33">
        <v>22334</v>
      </c>
      <c r="U33">
        <v>209671</v>
      </c>
      <c r="V33">
        <v>209671</v>
      </c>
      <c r="W33">
        <v>209671</v>
      </c>
      <c r="AA33">
        <v>22334</v>
      </c>
      <c r="AB33">
        <v>22334</v>
      </c>
      <c r="AC33">
        <v>22334</v>
      </c>
      <c r="AD33">
        <v>4200</v>
      </c>
      <c r="AE33">
        <v>4200</v>
      </c>
      <c r="AF33">
        <v>4200</v>
      </c>
      <c r="AG33">
        <v>189000</v>
      </c>
      <c r="AI33">
        <v>189000</v>
      </c>
      <c r="AJ33">
        <v>1951</v>
      </c>
      <c r="AK33">
        <v>1951</v>
      </c>
      <c r="AL33">
        <v>1951</v>
      </c>
      <c r="AP33">
        <v>3752482</v>
      </c>
      <c r="AQ33">
        <v>3752482</v>
      </c>
      <c r="AR33">
        <v>3752482</v>
      </c>
      <c r="AS33">
        <v>154165</v>
      </c>
      <c r="AT33">
        <v>154165</v>
      </c>
      <c r="AU33">
        <v>154165</v>
      </c>
      <c r="AY33">
        <v>1328241</v>
      </c>
      <c r="AZ33">
        <v>1328241</v>
      </c>
      <c r="BA33">
        <v>1328241</v>
      </c>
      <c r="BB33">
        <v>12165</v>
      </c>
      <c r="BC33">
        <v>12165</v>
      </c>
      <c r="BD33">
        <v>12165</v>
      </c>
      <c r="BE33">
        <v>195432</v>
      </c>
      <c r="BF33">
        <v>195432</v>
      </c>
      <c r="BG33">
        <v>195432</v>
      </c>
      <c r="BH33">
        <v>198503</v>
      </c>
      <c r="BI33">
        <v>198503</v>
      </c>
      <c r="BJ33">
        <v>198503</v>
      </c>
      <c r="BK33">
        <v>0</v>
      </c>
      <c r="BL33">
        <v>28729</v>
      </c>
      <c r="BM33" t="b">
        <f t="shared" si="0"/>
        <v>1</v>
      </c>
      <c r="BN33" t="b">
        <f t="shared" si="1"/>
        <v>1</v>
      </c>
      <c r="BO33">
        <v>1165</v>
      </c>
      <c r="BP33">
        <v>1165</v>
      </c>
      <c r="BQ33">
        <v>1165</v>
      </c>
      <c r="BR33">
        <v>0</v>
      </c>
      <c r="BS33" t="b">
        <f t="shared" si="2"/>
        <v>1</v>
      </c>
      <c r="BT33" t="b">
        <f t="shared" si="3"/>
        <v>1</v>
      </c>
    </row>
    <row r="34" spans="1:72" x14ac:dyDescent="0.35">
      <c r="A34" t="s">
        <v>126</v>
      </c>
      <c r="B34" t="s">
        <v>127</v>
      </c>
      <c r="C34">
        <v>48432</v>
      </c>
      <c r="D34">
        <v>48432</v>
      </c>
      <c r="E34">
        <v>48432</v>
      </c>
      <c r="F34">
        <v>5783</v>
      </c>
      <c r="G34">
        <v>5783</v>
      </c>
      <c r="H34">
        <v>5783</v>
      </c>
      <c r="I34">
        <v>650091000</v>
      </c>
      <c r="J34">
        <v>650091000</v>
      </c>
      <c r="K34">
        <v>650091000</v>
      </c>
      <c r="L34">
        <v>689573000</v>
      </c>
      <c r="M34">
        <v>689573000</v>
      </c>
      <c r="N34">
        <v>689573000</v>
      </c>
      <c r="R34">
        <v>674490</v>
      </c>
      <c r="T34">
        <v>674490</v>
      </c>
      <c r="AM34">
        <v>3421</v>
      </c>
      <c r="AN34">
        <v>3421</v>
      </c>
      <c r="AO34">
        <v>3421</v>
      </c>
      <c r="AP34">
        <v>213574</v>
      </c>
      <c r="AQ34">
        <v>213574</v>
      </c>
      <c r="AR34">
        <v>213574</v>
      </c>
      <c r="BB34">
        <v>64018</v>
      </c>
      <c r="BC34">
        <v>64018</v>
      </c>
      <c r="BD34">
        <v>64018</v>
      </c>
      <c r="BK34">
        <v>0</v>
      </c>
      <c r="BL34">
        <v>213574</v>
      </c>
      <c r="BM34" t="b">
        <f t="shared" si="0"/>
        <v>1</v>
      </c>
      <c r="BN34" t="b">
        <f t="shared" si="1"/>
        <v>1</v>
      </c>
      <c r="BO34">
        <v>116124</v>
      </c>
      <c r="BP34">
        <v>116124</v>
      </c>
      <c r="BQ34">
        <v>116124</v>
      </c>
      <c r="BR34">
        <v>0</v>
      </c>
      <c r="BS34" t="b">
        <f t="shared" si="2"/>
        <v>1</v>
      </c>
      <c r="BT34" t="b">
        <f t="shared" si="3"/>
        <v>1</v>
      </c>
    </row>
    <row r="35" spans="1:72" x14ac:dyDescent="0.35">
      <c r="A35" t="s">
        <v>128</v>
      </c>
      <c r="B35" t="s">
        <v>129</v>
      </c>
      <c r="D35">
        <v>3522</v>
      </c>
      <c r="E35">
        <v>3522</v>
      </c>
      <c r="G35">
        <v>124</v>
      </c>
      <c r="H35">
        <v>124</v>
      </c>
      <c r="J35">
        <v>1313543</v>
      </c>
      <c r="K35">
        <v>1313543</v>
      </c>
      <c r="M35">
        <v>1824277</v>
      </c>
      <c r="N35">
        <v>1824277</v>
      </c>
      <c r="P35">
        <v>868</v>
      </c>
      <c r="Q35">
        <v>868</v>
      </c>
      <c r="S35">
        <v>12670</v>
      </c>
      <c r="T35">
        <v>12670</v>
      </c>
      <c r="V35">
        <v>52452</v>
      </c>
      <c r="W35">
        <v>52452</v>
      </c>
      <c r="AE35">
        <v>9358</v>
      </c>
      <c r="AF35">
        <v>9358</v>
      </c>
      <c r="AH35">
        <v>7544</v>
      </c>
      <c r="AI35">
        <v>7544</v>
      </c>
      <c r="AN35">
        <v>1107</v>
      </c>
      <c r="AO35">
        <v>1107</v>
      </c>
      <c r="AQ35">
        <v>1223413</v>
      </c>
      <c r="AR35">
        <v>1223413</v>
      </c>
      <c r="AT35">
        <v>2463</v>
      </c>
      <c r="AU35">
        <v>2463</v>
      </c>
      <c r="AW35">
        <v>1197715</v>
      </c>
      <c r="AX35">
        <v>1197715</v>
      </c>
      <c r="AZ35">
        <v>8490</v>
      </c>
      <c r="BA35">
        <v>8490</v>
      </c>
      <c r="BC35">
        <v>1390</v>
      </c>
      <c r="BD35">
        <v>1390</v>
      </c>
      <c r="BF35">
        <v>9020</v>
      </c>
      <c r="BG35">
        <v>9020</v>
      </c>
      <c r="BI35">
        <v>479</v>
      </c>
      <c r="BJ35">
        <v>479</v>
      </c>
      <c r="BM35" t="b">
        <f t="shared" si="0"/>
        <v>0</v>
      </c>
      <c r="BN35" t="b">
        <f t="shared" si="1"/>
        <v>0</v>
      </c>
      <c r="BP35">
        <v>2196</v>
      </c>
      <c r="BQ35">
        <v>2196</v>
      </c>
      <c r="BS35" t="b">
        <f t="shared" si="2"/>
        <v>1</v>
      </c>
      <c r="BT35" t="b">
        <f t="shared" si="3"/>
        <v>1</v>
      </c>
    </row>
    <row r="36" spans="1:72" x14ac:dyDescent="0.35">
      <c r="A36" t="s">
        <v>130</v>
      </c>
      <c r="B36" t="s">
        <v>131</v>
      </c>
      <c r="D36">
        <v>149</v>
      </c>
      <c r="E36">
        <v>149</v>
      </c>
      <c r="G36">
        <v>6</v>
      </c>
      <c r="H36">
        <v>6</v>
      </c>
      <c r="J36">
        <v>207116</v>
      </c>
      <c r="K36">
        <v>207116</v>
      </c>
      <c r="M36">
        <v>175124</v>
      </c>
      <c r="N36">
        <v>175124</v>
      </c>
      <c r="P36">
        <v>11686</v>
      </c>
      <c r="Q36">
        <v>11686</v>
      </c>
      <c r="S36">
        <v>347</v>
      </c>
      <c r="T36">
        <v>347</v>
      </c>
      <c r="V36">
        <v>6500</v>
      </c>
      <c r="W36">
        <v>6500</v>
      </c>
      <c r="AQ36">
        <v>12229</v>
      </c>
      <c r="AR36">
        <v>12229</v>
      </c>
      <c r="AT36">
        <v>1250</v>
      </c>
      <c r="AU36">
        <v>1250</v>
      </c>
      <c r="AW36">
        <v>10586</v>
      </c>
      <c r="AX36">
        <v>10586</v>
      </c>
      <c r="AZ36">
        <v>5872</v>
      </c>
      <c r="BA36">
        <v>5872</v>
      </c>
      <c r="BI36">
        <v>9000</v>
      </c>
      <c r="BJ36">
        <v>9000</v>
      </c>
      <c r="BM36" t="b">
        <f t="shared" si="0"/>
        <v>0</v>
      </c>
      <c r="BN36" t="b">
        <f t="shared" si="1"/>
        <v>0</v>
      </c>
      <c r="BP36">
        <v>408</v>
      </c>
      <c r="BQ36">
        <v>408</v>
      </c>
      <c r="BS36" t="b">
        <f t="shared" si="2"/>
        <v>1</v>
      </c>
      <c r="BT36" t="b">
        <f t="shared" si="3"/>
        <v>1</v>
      </c>
    </row>
    <row r="37" spans="1:72" x14ac:dyDescent="0.35">
      <c r="A37" t="s">
        <v>132</v>
      </c>
      <c r="B37" t="s">
        <v>133</v>
      </c>
      <c r="D37">
        <v>3100</v>
      </c>
      <c r="E37">
        <v>3100</v>
      </c>
      <c r="G37">
        <v>26</v>
      </c>
      <c r="H37">
        <v>26</v>
      </c>
      <c r="J37">
        <v>391072</v>
      </c>
      <c r="K37">
        <v>391072</v>
      </c>
      <c r="M37">
        <v>703279</v>
      </c>
      <c r="N37">
        <v>703279</v>
      </c>
      <c r="P37">
        <v>7124</v>
      </c>
      <c r="Q37">
        <v>7124</v>
      </c>
      <c r="AQ37">
        <v>33523</v>
      </c>
      <c r="AR37">
        <v>33523</v>
      </c>
      <c r="AT37">
        <v>9002</v>
      </c>
      <c r="AU37">
        <v>9002</v>
      </c>
      <c r="AZ37">
        <v>19704</v>
      </c>
      <c r="BA37">
        <v>19704</v>
      </c>
      <c r="BF37">
        <v>4730</v>
      </c>
      <c r="BG37">
        <v>4730</v>
      </c>
      <c r="BI37">
        <v>656</v>
      </c>
      <c r="BJ37">
        <v>656</v>
      </c>
      <c r="BM37" t="b">
        <f t="shared" si="0"/>
        <v>0</v>
      </c>
      <c r="BN37" t="b">
        <f t="shared" si="1"/>
        <v>0</v>
      </c>
      <c r="BP37">
        <v>2824</v>
      </c>
      <c r="BQ37">
        <v>2824</v>
      </c>
      <c r="BS37" t="b">
        <f t="shared" si="2"/>
        <v>1</v>
      </c>
      <c r="BT37" t="b">
        <f t="shared" si="3"/>
        <v>1</v>
      </c>
    </row>
    <row r="38" spans="1:72" x14ac:dyDescent="0.35">
      <c r="A38" t="s">
        <v>134</v>
      </c>
      <c r="B38" t="s">
        <v>135</v>
      </c>
      <c r="D38">
        <v>75000</v>
      </c>
      <c r="E38">
        <v>75000</v>
      </c>
      <c r="G38">
        <v>148</v>
      </c>
      <c r="H38">
        <v>148</v>
      </c>
      <c r="J38">
        <v>4292965</v>
      </c>
      <c r="K38">
        <v>4292965</v>
      </c>
      <c r="M38">
        <v>2575779</v>
      </c>
      <c r="N38">
        <v>2575779</v>
      </c>
      <c r="P38">
        <v>45518</v>
      </c>
      <c r="Q38">
        <v>45518</v>
      </c>
      <c r="S38">
        <v>427499</v>
      </c>
      <c r="T38">
        <v>427499</v>
      </c>
      <c r="V38">
        <v>259786</v>
      </c>
      <c r="W38">
        <v>259786</v>
      </c>
      <c r="AE38">
        <v>249386</v>
      </c>
      <c r="AF38">
        <v>249386</v>
      </c>
      <c r="AH38">
        <v>405213</v>
      </c>
      <c r="AI38">
        <v>405213</v>
      </c>
      <c r="AK38">
        <v>91587</v>
      </c>
      <c r="AL38">
        <v>91587</v>
      </c>
      <c r="AN38">
        <v>332323</v>
      </c>
      <c r="AO38">
        <v>332323</v>
      </c>
      <c r="AQ38">
        <v>435256</v>
      </c>
      <c r="AR38">
        <v>435256</v>
      </c>
      <c r="AT38">
        <v>940</v>
      </c>
      <c r="AU38">
        <v>940</v>
      </c>
      <c r="AW38">
        <v>27208</v>
      </c>
      <c r="AX38">
        <v>27208</v>
      </c>
      <c r="AZ38">
        <v>207591</v>
      </c>
      <c r="BA38">
        <v>207591</v>
      </c>
      <c r="BC38">
        <v>5266</v>
      </c>
      <c r="BD38">
        <v>5266</v>
      </c>
      <c r="BF38">
        <v>327890</v>
      </c>
      <c r="BG38">
        <v>327890</v>
      </c>
      <c r="BM38" t="b">
        <f t="shared" si="0"/>
        <v>0</v>
      </c>
      <c r="BN38" t="b">
        <f t="shared" si="1"/>
        <v>0</v>
      </c>
      <c r="BP38">
        <v>9973</v>
      </c>
      <c r="BQ38">
        <v>9973</v>
      </c>
      <c r="BS38" t="b">
        <f t="shared" si="2"/>
        <v>1</v>
      </c>
      <c r="BT38" t="b">
        <f t="shared" si="3"/>
        <v>1</v>
      </c>
    </row>
    <row r="39" spans="1:72" x14ac:dyDescent="0.35">
      <c r="A39" t="s">
        <v>136</v>
      </c>
      <c r="B39" t="s">
        <v>137</v>
      </c>
      <c r="D39">
        <v>2930054</v>
      </c>
      <c r="E39">
        <v>2930054</v>
      </c>
      <c r="G39">
        <v>20857</v>
      </c>
      <c r="H39">
        <v>20857</v>
      </c>
      <c r="J39">
        <v>2140559725</v>
      </c>
      <c r="K39">
        <v>2140559725</v>
      </c>
      <c r="M39">
        <v>1980218561</v>
      </c>
      <c r="N39">
        <v>1980218561</v>
      </c>
      <c r="P39">
        <v>103842532</v>
      </c>
      <c r="Q39">
        <v>103842532</v>
      </c>
      <c r="S39">
        <v>38421710</v>
      </c>
      <c r="T39">
        <v>38421710</v>
      </c>
      <c r="AB39">
        <v>30404</v>
      </c>
      <c r="AC39">
        <v>30404</v>
      </c>
      <c r="AN39">
        <v>5168</v>
      </c>
      <c r="AO39">
        <v>5168</v>
      </c>
      <c r="BI39">
        <v>2213</v>
      </c>
      <c r="BJ39">
        <v>2213</v>
      </c>
      <c r="BM39" t="b">
        <f t="shared" si="0"/>
        <v>0</v>
      </c>
      <c r="BN39" t="b">
        <f t="shared" si="1"/>
        <v>0</v>
      </c>
      <c r="BP39">
        <v>3433008</v>
      </c>
      <c r="BQ39">
        <v>3433008</v>
      </c>
      <c r="BS39" t="b">
        <f t="shared" si="2"/>
        <v>1</v>
      </c>
      <c r="BT39" t="b">
        <f t="shared" si="3"/>
        <v>1</v>
      </c>
    </row>
    <row r="40" spans="1:72" x14ac:dyDescent="0.35">
      <c r="A40" t="s">
        <v>138</v>
      </c>
      <c r="B40" t="s">
        <v>139</v>
      </c>
      <c r="C40">
        <v>22200</v>
      </c>
      <c r="D40">
        <v>22200</v>
      </c>
      <c r="E40">
        <v>22200</v>
      </c>
      <c r="F40">
        <v>2900</v>
      </c>
      <c r="G40">
        <v>2900</v>
      </c>
      <c r="H40">
        <v>2900</v>
      </c>
      <c r="I40">
        <v>30579963</v>
      </c>
      <c r="J40">
        <v>30579963</v>
      </c>
      <c r="K40">
        <v>30579963</v>
      </c>
      <c r="L40">
        <v>29664398</v>
      </c>
      <c r="M40">
        <v>29664398</v>
      </c>
      <c r="N40">
        <v>29664398</v>
      </c>
      <c r="O40">
        <v>32101</v>
      </c>
      <c r="P40">
        <v>32101</v>
      </c>
      <c r="Q40">
        <v>32101</v>
      </c>
      <c r="R40">
        <v>187664</v>
      </c>
      <c r="S40">
        <v>187664</v>
      </c>
      <c r="T40">
        <v>187664</v>
      </c>
      <c r="U40">
        <v>190415</v>
      </c>
      <c r="V40">
        <v>190415</v>
      </c>
      <c r="W40">
        <v>190415</v>
      </c>
      <c r="AA40">
        <v>13107</v>
      </c>
      <c r="AB40">
        <v>13107</v>
      </c>
      <c r="AC40">
        <v>13107</v>
      </c>
      <c r="AD40">
        <v>912</v>
      </c>
      <c r="AE40">
        <v>912</v>
      </c>
      <c r="AF40">
        <v>912</v>
      </c>
      <c r="AJ40">
        <v>190415</v>
      </c>
      <c r="AL40">
        <v>190415</v>
      </c>
      <c r="AM40">
        <v>2970</v>
      </c>
      <c r="AN40">
        <v>2970</v>
      </c>
      <c r="AO40">
        <v>2970</v>
      </c>
      <c r="AP40">
        <v>718858</v>
      </c>
      <c r="AQ40">
        <v>718858</v>
      </c>
      <c r="AR40">
        <v>718858</v>
      </c>
      <c r="AS40">
        <v>17755</v>
      </c>
      <c r="AT40">
        <v>17755</v>
      </c>
      <c r="AU40">
        <v>17755</v>
      </c>
      <c r="AY40">
        <v>146660</v>
      </c>
      <c r="AZ40">
        <v>146660</v>
      </c>
      <c r="BA40">
        <v>146660</v>
      </c>
      <c r="BB40">
        <v>105971</v>
      </c>
      <c r="BC40">
        <v>105971</v>
      </c>
      <c r="BD40">
        <v>105971</v>
      </c>
      <c r="BE40">
        <v>241057</v>
      </c>
      <c r="BF40">
        <v>241057</v>
      </c>
      <c r="BG40">
        <v>241057</v>
      </c>
      <c r="BH40">
        <v>73410</v>
      </c>
      <c r="BI40">
        <v>73410</v>
      </c>
      <c r="BJ40">
        <v>73410</v>
      </c>
      <c r="BK40">
        <v>0</v>
      </c>
      <c r="BL40">
        <v>142289</v>
      </c>
      <c r="BM40" t="b">
        <f t="shared" si="0"/>
        <v>1</v>
      </c>
      <c r="BN40" t="b">
        <f t="shared" si="1"/>
        <v>1</v>
      </c>
      <c r="BO40">
        <v>43908</v>
      </c>
      <c r="BP40">
        <v>43908</v>
      </c>
      <c r="BQ40">
        <v>43908</v>
      </c>
      <c r="BR40">
        <v>0</v>
      </c>
      <c r="BS40" t="b">
        <f t="shared" si="2"/>
        <v>1</v>
      </c>
      <c r="BT40" t="b">
        <f t="shared" si="3"/>
        <v>1</v>
      </c>
    </row>
    <row r="41" spans="1:72" x14ac:dyDescent="0.35">
      <c r="A41" t="s">
        <v>140</v>
      </c>
      <c r="B41" t="s">
        <v>141</v>
      </c>
      <c r="C41">
        <v>5336</v>
      </c>
      <c r="E41">
        <v>5336</v>
      </c>
      <c r="F41">
        <v>1328</v>
      </c>
      <c r="G41">
        <v>1328</v>
      </c>
      <c r="H41">
        <v>1328</v>
      </c>
      <c r="I41">
        <v>45583648</v>
      </c>
      <c r="J41">
        <v>45583648</v>
      </c>
      <c r="K41">
        <v>45583648</v>
      </c>
      <c r="L41">
        <v>47520648</v>
      </c>
      <c r="M41">
        <v>47520648</v>
      </c>
      <c r="N41">
        <v>47520648</v>
      </c>
      <c r="O41">
        <v>22912</v>
      </c>
      <c r="P41">
        <v>22912</v>
      </c>
      <c r="Q41">
        <v>22912</v>
      </c>
      <c r="U41">
        <v>50171</v>
      </c>
      <c r="W41">
        <v>50171</v>
      </c>
      <c r="AD41">
        <v>0</v>
      </c>
      <c r="AF41">
        <v>0</v>
      </c>
      <c r="AG41">
        <v>1461</v>
      </c>
      <c r="AI41">
        <v>1461</v>
      </c>
      <c r="AM41">
        <v>0</v>
      </c>
      <c r="AO41">
        <v>0</v>
      </c>
      <c r="AP41">
        <v>26665</v>
      </c>
      <c r="AQ41">
        <v>26665</v>
      </c>
      <c r="AR41">
        <v>26665</v>
      </c>
      <c r="AS41">
        <v>122</v>
      </c>
      <c r="AT41">
        <v>122</v>
      </c>
      <c r="AU41">
        <v>122</v>
      </c>
      <c r="AY41">
        <v>34165</v>
      </c>
      <c r="AZ41">
        <v>34165</v>
      </c>
      <c r="BA41">
        <v>34165</v>
      </c>
      <c r="BB41">
        <v>1547</v>
      </c>
      <c r="BC41">
        <v>1547</v>
      </c>
      <c r="BD41">
        <v>1547</v>
      </c>
      <c r="BE41">
        <v>137</v>
      </c>
      <c r="BF41">
        <v>137</v>
      </c>
      <c r="BG41">
        <v>137</v>
      </c>
      <c r="BH41">
        <v>1152</v>
      </c>
      <c r="BI41">
        <v>1152</v>
      </c>
      <c r="BJ41">
        <v>1152</v>
      </c>
      <c r="BK41">
        <v>1</v>
      </c>
      <c r="BM41" t="b">
        <f t="shared" si="0"/>
        <v>0</v>
      </c>
      <c r="BN41" t="b">
        <f t="shared" si="1"/>
        <v>1</v>
      </c>
      <c r="BO41">
        <v>2250</v>
      </c>
      <c r="BP41">
        <v>2250</v>
      </c>
      <c r="BQ41">
        <v>2250</v>
      </c>
      <c r="BR41">
        <v>0</v>
      </c>
      <c r="BS41" t="b">
        <f t="shared" si="2"/>
        <v>1</v>
      </c>
      <c r="BT41" t="b">
        <f t="shared" si="3"/>
        <v>1</v>
      </c>
    </row>
    <row r="42" spans="1:72" x14ac:dyDescent="0.35">
      <c r="A42" t="s">
        <v>142</v>
      </c>
      <c r="B42" t="s">
        <v>143</v>
      </c>
      <c r="C42">
        <v>39648</v>
      </c>
      <c r="D42">
        <v>39648</v>
      </c>
      <c r="E42">
        <v>39648</v>
      </c>
      <c r="F42">
        <v>393</v>
      </c>
      <c r="G42">
        <v>393</v>
      </c>
      <c r="H42">
        <v>393</v>
      </c>
      <c r="I42">
        <v>784029</v>
      </c>
      <c r="J42">
        <v>784029</v>
      </c>
      <c r="K42">
        <v>784029</v>
      </c>
      <c r="L42">
        <v>784029</v>
      </c>
      <c r="M42">
        <v>784029</v>
      </c>
      <c r="N42">
        <v>784029</v>
      </c>
      <c r="O42">
        <v>1771</v>
      </c>
      <c r="P42">
        <v>1771</v>
      </c>
      <c r="Q42">
        <v>1771</v>
      </c>
      <c r="R42">
        <v>203010</v>
      </c>
      <c r="S42">
        <v>203010</v>
      </c>
      <c r="T42">
        <v>203010</v>
      </c>
      <c r="U42">
        <v>67607</v>
      </c>
      <c r="V42">
        <v>67607</v>
      </c>
      <c r="W42">
        <v>67607</v>
      </c>
      <c r="AA42">
        <v>1771</v>
      </c>
      <c r="AB42">
        <v>1771</v>
      </c>
      <c r="AC42">
        <v>1771</v>
      </c>
      <c r="AG42">
        <v>32070</v>
      </c>
      <c r="AI42">
        <v>32070</v>
      </c>
      <c r="AP42">
        <v>7961</v>
      </c>
      <c r="AQ42">
        <v>7961</v>
      </c>
      <c r="AR42">
        <v>7961</v>
      </c>
      <c r="AS42">
        <v>19302</v>
      </c>
      <c r="AT42">
        <v>19302</v>
      </c>
      <c r="AU42">
        <v>19302</v>
      </c>
      <c r="AY42">
        <v>10146</v>
      </c>
      <c r="AZ42">
        <v>10146</v>
      </c>
      <c r="BA42">
        <v>10146</v>
      </c>
      <c r="BB42">
        <v>792</v>
      </c>
      <c r="BC42">
        <v>792</v>
      </c>
      <c r="BD42">
        <v>792</v>
      </c>
      <c r="BE42">
        <v>3372</v>
      </c>
      <c r="BF42">
        <v>3372</v>
      </c>
      <c r="BG42">
        <v>3372</v>
      </c>
      <c r="BH42">
        <v>100634</v>
      </c>
      <c r="BI42">
        <v>100634</v>
      </c>
      <c r="BJ42">
        <v>100634</v>
      </c>
      <c r="BK42">
        <v>0</v>
      </c>
      <c r="BL42">
        <v>750</v>
      </c>
      <c r="BM42" t="b">
        <f t="shared" si="0"/>
        <v>1</v>
      </c>
      <c r="BN42" t="b">
        <f t="shared" si="1"/>
        <v>1</v>
      </c>
      <c r="BO42">
        <v>188125</v>
      </c>
      <c r="BP42">
        <v>188125</v>
      </c>
      <c r="BQ42">
        <v>188125</v>
      </c>
      <c r="BR42">
        <v>0</v>
      </c>
      <c r="BS42" t="b">
        <f t="shared" si="2"/>
        <v>1</v>
      </c>
      <c r="BT42" t="b">
        <f t="shared" si="3"/>
        <v>1</v>
      </c>
    </row>
    <row r="43" spans="1:72" x14ac:dyDescent="0.35">
      <c r="A43" t="s">
        <v>144</v>
      </c>
      <c r="B43" t="s">
        <v>145</v>
      </c>
      <c r="C43">
        <v>2200</v>
      </c>
      <c r="E43">
        <v>2200</v>
      </c>
      <c r="F43">
        <v>137</v>
      </c>
      <c r="G43">
        <v>137</v>
      </c>
      <c r="H43">
        <v>137</v>
      </c>
      <c r="I43">
        <v>528968</v>
      </c>
      <c r="K43">
        <v>528968</v>
      </c>
      <c r="L43">
        <v>528968</v>
      </c>
      <c r="M43">
        <v>528968</v>
      </c>
      <c r="N43">
        <v>528968</v>
      </c>
      <c r="O43">
        <v>180000</v>
      </c>
      <c r="P43">
        <v>180000</v>
      </c>
      <c r="Q43">
        <v>180000</v>
      </c>
      <c r="R43">
        <v>48</v>
      </c>
      <c r="S43">
        <v>48</v>
      </c>
      <c r="T43">
        <v>48</v>
      </c>
      <c r="U43">
        <v>9700</v>
      </c>
      <c r="V43">
        <v>9700</v>
      </c>
      <c r="W43">
        <v>9700</v>
      </c>
      <c r="AA43">
        <v>12</v>
      </c>
      <c r="AB43">
        <v>12</v>
      </c>
      <c r="AC43">
        <v>12</v>
      </c>
      <c r="AG43">
        <v>30000</v>
      </c>
      <c r="AI43">
        <v>30000</v>
      </c>
      <c r="AM43">
        <v>12</v>
      </c>
      <c r="AN43">
        <v>12</v>
      </c>
      <c r="AO43">
        <v>12</v>
      </c>
      <c r="AP43">
        <v>2100</v>
      </c>
      <c r="AQ43">
        <v>2100</v>
      </c>
      <c r="AR43">
        <v>2100</v>
      </c>
      <c r="BB43">
        <v>69</v>
      </c>
      <c r="BC43">
        <v>69</v>
      </c>
      <c r="BD43">
        <v>69</v>
      </c>
      <c r="BH43">
        <v>530</v>
      </c>
      <c r="BI43">
        <v>530</v>
      </c>
      <c r="BJ43">
        <v>530</v>
      </c>
      <c r="BK43">
        <v>1</v>
      </c>
      <c r="BM43" t="b">
        <f t="shared" si="0"/>
        <v>0</v>
      </c>
      <c r="BN43" t="b">
        <f t="shared" si="1"/>
        <v>1</v>
      </c>
      <c r="BR43">
        <v>0</v>
      </c>
      <c r="BS43" t="b">
        <f t="shared" si="2"/>
        <v>0</v>
      </c>
      <c r="BT43" t="b">
        <f t="shared" si="3"/>
        <v>0</v>
      </c>
    </row>
    <row r="44" spans="1:72" x14ac:dyDescent="0.35">
      <c r="A44" t="s">
        <v>146</v>
      </c>
      <c r="B44" t="s">
        <v>147</v>
      </c>
      <c r="C44">
        <v>1256</v>
      </c>
      <c r="D44">
        <v>1256</v>
      </c>
      <c r="E44">
        <v>1256</v>
      </c>
      <c r="F44">
        <v>36</v>
      </c>
      <c r="G44">
        <v>36</v>
      </c>
      <c r="H44">
        <v>36</v>
      </c>
      <c r="I44">
        <v>1342224</v>
      </c>
      <c r="J44">
        <v>1342224</v>
      </c>
      <c r="K44">
        <v>1342224</v>
      </c>
      <c r="L44">
        <v>1106794</v>
      </c>
      <c r="M44">
        <v>1106794</v>
      </c>
      <c r="N44">
        <v>1106794</v>
      </c>
      <c r="O44">
        <v>1587</v>
      </c>
      <c r="P44">
        <v>1587</v>
      </c>
      <c r="Q44">
        <v>1587</v>
      </c>
      <c r="R44">
        <v>45820</v>
      </c>
      <c r="S44">
        <v>45820</v>
      </c>
      <c r="T44">
        <v>45820</v>
      </c>
      <c r="AD44">
        <v>31991</v>
      </c>
      <c r="AE44">
        <v>31991</v>
      </c>
      <c r="AF44">
        <v>31991</v>
      </c>
      <c r="AG44">
        <v>45</v>
      </c>
      <c r="AI44">
        <v>45</v>
      </c>
      <c r="AP44">
        <v>2862</v>
      </c>
      <c r="AQ44">
        <v>2862</v>
      </c>
      <c r="AR44">
        <v>2862</v>
      </c>
      <c r="AS44">
        <v>465</v>
      </c>
      <c r="AT44">
        <v>465</v>
      </c>
      <c r="AU44">
        <v>465</v>
      </c>
      <c r="BB44">
        <v>12079</v>
      </c>
      <c r="BC44">
        <v>12079</v>
      </c>
      <c r="BD44">
        <v>12079</v>
      </c>
      <c r="BE44">
        <v>425</v>
      </c>
      <c r="BF44">
        <v>425</v>
      </c>
      <c r="BG44">
        <v>425</v>
      </c>
      <c r="BH44">
        <v>572</v>
      </c>
      <c r="BI44">
        <v>572</v>
      </c>
      <c r="BJ44">
        <v>572</v>
      </c>
      <c r="BK44">
        <v>0</v>
      </c>
      <c r="BL44">
        <v>1562</v>
      </c>
      <c r="BM44" t="b">
        <f t="shared" si="0"/>
        <v>1</v>
      </c>
      <c r="BN44" t="b">
        <f t="shared" si="1"/>
        <v>1</v>
      </c>
      <c r="BO44">
        <v>592</v>
      </c>
      <c r="BP44">
        <v>592</v>
      </c>
      <c r="BQ44">
        <v>592</v>
      </c>
      <c r="BR44">
        <v>0</v>
      </c>
      <c r="BS44" t="b">
        <f t="shared" si="2"/>
        <v>1</v>
      </c>
      <c r="BT44" t="b">
        <f t="shared" si="3"/>
        <v>1</v>
      </c>
    </row>
    <row r="45" spans="1:72" x14ac:dyDescent="0.35">
      <c r="A45" t="s">
        <v>148</v>
      </c>
      <c r="B45" t="s">
        <v>149</v>
      </c>
      <c r="D45">
        <v>14076</v>
      </c>
      <c r="E45">
        <v>14076</v>
      </c>
      <c r="G45">
        <v>717</v>
      </c>
      <c r="H45">
        <v>717</v>
      </c>
      <c r="P45">
        <v>63092</v>
      </c>
      <c r="Q45">
        <v>63092</v>
      </c>
      <c r="S45">
        <v>357268</v>
      </c>
      <c r="T45">
        <v>357268</v>
      </c>
      <c r="V45">
        <v>108820</v>
      </c>
      <c r="W45">
        <v>108820</v>
      </c>
      <c r="AK45">
        <v>188</v>
      </c>
      <c r="AL45">
        <v>188</v>
      </c>
      <c r="AN45">
        <v>2258</v>
      </c>
      <c r="AO45">
        <v>2258</v>
      </c>
      <c r="AQ45">
        <v>176484</v>
      </c>
      <c r="AR45">
        <v>176484</v>
      </c>
      <c r="AT45">
        <v>46544</v>
      </c>
      <c r="AU45">
        <v>46544</v>
      </c>
      <c r="BC45">
        <v>63292</v>
      </c>
      <c r="BD45">
        <v>63292</v>
      </c>
      <c r="BF45">
        <v>88</v>
      </c>
      <c r="BG45">
        <v>88</v>
      </c>
      <c r="BI45">
        <v>25892</v>
      </c>
      <c r="BJ45">
        <v>25892</v>
      </c>
      <c r="BM45" t="b">
        <f t="shared" si="0"/>
        <v>0</v>
      </c>
      <c r="BN45" t="b">
        <f t="shared" si="1"/>
        <v>0</v>
      </c>
      <c r="BP45">
        <v>54866</v>
      </c>
      <c r="BQ45">
        <v>54866</v>
      </c>
      <c r="BS45" t="b">
        <f t="shared" si="2"/>
        <v>1</v>
      </c>
      <c r="BT45" t="b">
        <f t="shared" si="3"/>
        <v>1</v>
      </c>
    </row>
    <row r="46" spans="1:72" x14ac:dyDescent="0.35">
      <c r="A46" t="s">
        <v>150</v>
      </c>
      <c r="B46" t="s">
        <v>151</v>
      </c>
      <c r="C46">
        <v>457414</v>
      </c>
      <c r="D46">
        <v>457414</v>
      </c>
      <c r="E46">
        <v>457414</v>
      </c>
      <c r="F46">
        <v>211836</v>
      </c>
      <c r="G46">
        <v>211836</v>
      </c>
      <c r="H46">
        <v>211836</v>
      </c>
      <c r="I46">
        <v>10503681894</v>
      </c>
      <c r="J46">
        <v>10503681894</v>
      </c>
      <c r="K46">
        <v>10503681894</v>
      </c>
      <c r="L46">
        <v>10503681894</v>
      </c>
      <c r="M46">
        <v>10503681894</v>
      </c>
      <c r="N46">
        <v>10503681894</v>
      </c>
      <c r="U46">
        <v>895505</v>
      </c>
      <c r="V46">
        <v>895505</v>
      </c>
      <c r="W46">
        <v>895505</v>
      </c>
      <c r="AA46">
        <v>115074</v>
      </c>
      <c r="AB46">
        <v>115074</v>
      </c>
      <c r="AC46">
        <v>115074</v>
      </c>
      <c r="AD46">
        <v>231983</v>
      </c>
      <c r="AE46">
        <v>231983</v>
      </c>
      <c r="AF46">
        <v>231983</v>
      </c>
      <c r="AP46">
        <v>4367503</v>
      </c>
      <c r="AQ46">
        <v>4367503</v>
      </c>
      <c r="AR46">
        <v>4367503</v>
      </c>
      <c r="AY46">
        <v>593930</v>
      </c>
      <c r="AZ46">
        <v>593930</v>
      </c>
      <c r="BA46">
        <v>593930</v>
      </c>
      <c r="BK46">
        <v>0</v>
      </c>
      <c r="BL46">
        <v>1500000</v>
      </c>
      <c r="BM46" t="b">
        <f t="shared" si="0"/>
        <v>1</v>
      </c>
      <c r="BN46" t="b">
        <f t="shared" si="1"/>
        <v>1</v>
      </c>
      <c r="BO46">
        <v>1700000</v>
      </c>
      <c r="BP46">
        <v>1700000</v>
      </c>
      <c r="BQ46">
        <v>1700000</v>
      </c>
      <c r="BR46">
        <v>0</v>
      </c>
      <c r="BS46" t="b">
        <f t="shared" si="2"/>
        <v>1</v>
      </c>
      <c r="BT46" t="b">
        <f t="shared" si="3"/>
        <v>1</v>
      </c>
    </row>
    <row r="47" spans="1:72" x14ac:dyDescent="0.35">
      <c r="A47" t="s">
        <v>152</v>
      </c>
      <c r="B47" t="s">
        <v>153</v>
      </c>
      <c r="C47">
        <v>1000</v>
      </c>
      <c r="D47">
        <v>1000</v>
      </c>
      <c r="E47">
        <v>1000</v>
      </c>
      <c r="F47">
        <v>40</v>
      </c>
      <c r="G47">
        <v>40</v>
      </c>
      <c r="H47">
        <v>40</v>
      </c>
      <c r="I47">
        <v>1389616</v>
      </c>
      <c r="J47">
        <v>1389616</v>
      </c>
      <c r="K47">
        <v>1389616</v>
      </c>
      <c r="L47">
        <v>1309764</v>
      </c>
      <c r="M47">
        <v>1309764</v>
      </c>
      <c r="N47">
        <v>1309764</v>
      </c>
      <c r="U47">
        <v>4</v>
      </c>
      <c r="V47">
        <v>4</v>
      </c>
      <c r="W47">
        <v>4</v>
      </c>
      <c r="AA47">
        <v>406</v>
      </c>
      <c r="AB47">
        <v>406</v>
      </c>
      <c r="AC47">
        <v>406</v>
      </c>
      <c r="AD47">
        <v>21831</v>
      </c>
      <c r="AE47">
        <v>21831</v>
      </c>
      <c r="AF47">
        <v>21831</v>
      </c>
      <c r="AM47">
        <v>5997</v>
      </c>
      <c r="AO47">
        <v>5997</v>
      </c>
      <c r="AP47">
        <v>60141</v>
      </c>
      <c r="AQ47">
        <v>60141</v>
      </c>
      <c r="AR47">
        <v>60141</v>
      </c>
      <c r="AS47">
        <v>694</v>
      </c>
      <c r="AU47">
        <v>694</v>
      </c>
      <c r="AV47">
        <v>59090</v>
      </c>
      <c r="AW47">
        <v>59090</v>
      </c>
      <c r="AX47">
        <v>59090</v>
      </c>
      <c r="AY47">
        <v>15186</v>
      </c>
      <c r="AZ47">
        <v>15186</v>
      </c>
      <c r="BA47">
        <v>15186</v>
      </c>
      <c r="BB47">
        <v>20524</v>
      </c>
      <c r="BD47">
        <v>20524</v>
      </c>
      <c r="BK47">
        <v>1</v>
      </c>
      <c r="BM47" t="b">
        <f t="shared" si="0"/>
        <v>0</v>
      </c>
      <c r="BN47" t="b">
        <f t="shared" si="1"/>
        <v>1</v>
      </c>
      <c r="BO47">
        <v>321</v>
      </c>
      <c r="BP47">
        <v>321</v>
      </c>
      <c r="BQ47">
        <v>321</v>
      </c>
      <c r="BR47">
        <v>0</v>
      </c>
      <c r="BS47" t="b">
        <f t="shared" si="2"/>
        <v>1</v>
      </c>
      <c r="BT47" t="b">
        <f t="shared" si="3"/>
        <v>1</v>
      </c>
    </row>
    <row r="48" spans="1:72" x14ac:dyDescent="0.35">
      <c r="A48" t="s">
        <v>154</v>
      </c>
      <c r="B48" t="s">
        <v>155</v>
      </c>
      <c r="C48">
        <v>40000</v>
      </c>
      <c r="D48">
        <v>40000</v>
      </c>
      <c r="E48">
        <v>40000</v>
      </c>
      <c r="F48">
        <v>942</v>
      </c>
      <c r="H48">
        <v>942</v>
      </c>
      <c r="I48">
        <v>244527681</v>
      </c>
      <c r="J48">
        <v>244527681</v>
      </c>
      <c r="K48">
        <v>244527681</v>
      </c>
      <c r="L48">
        <v>237721241</v>
      </c>
      <c r="M48">
        <v>237721241</v>
      </c>
      <c r="N48">
        <v>237721241</v>
      </c>
      <c r="O48">
        <v>9063</v>
      </c>
      <c r="P48">
        <v>9063</v>
      </c>
      <c r="Q48">
        <v>9063</v>
      </c>
      <c r="R48">
        <v>56356</v>
      </c>
      <c r="S48">
        <v>56356</v>
      </c>
      <c r="T48">
        <v>56356</v>
      </c>
      <c r="AA48">
        <v>899</v>
      </c>
      <c r="AB48">
        <v>899</v>
      </c>
      <c r="AC48">
        <v>899</v>
      </c>
      <c r="AD48">
        <v>1144</v>
      </c>
      <c r="AE48">
        <v>1144</v>
      </c>
      <c r="AF48">
        <v>1144</v>
      </c>
      <c r="AM48">
        <v>26721</v>
      </c>
      <c r="AN48">
        <v>26721</v>
      </c>
      <c r="AO48">
        <v>26721</v>
      </c>
      <c r="AP48">
        <v>780033</v>
      </c>
      <c r="AQ48">
        <v>17349</v>
      </c>
      <c r="AR48">
        <v>780033</v>
      </c>
      <c r="AS48">
        <v>780033</v>
      </c>
      <c r="AT48">
        <v>780033</v>
      </c>
      <c r="AU48">
        <v>780033</v>
      </c>
      <c r="BB48">
        <v>14486</v>
      </c>
      <c r="BC48">
        <v>14486</v>
      </c>
      <c r="BD48">
        <v>14486</v>
      </c>
      <c r="BK48">
        <v>1</v>
      </c>
      <c r="BM48" t="b">
        <f t="shared" si="0"/>
        <v>0</v>
      </c>
      <c r="BN48" t="b">
        <f t="shared" si="1"/>
        <v>1</v>
      </c>
      <c r="BO48">
        <v>48747</v>
      </c>
      <c r="BP48">
        <v>48747</v>
      </c>
      <c r="BQ48">
        <v>48747</v>
      </c>
      <c r="BR48">
        <v>0</v>
      </c>
      <c r="BS48" t="b">
        <f t="shared" si="2"/>
        <v>1</v>
      </c>
      <c r="BT48" t="b">
        <f t="shared" si="3"/>
        <v>1</v>
      </c>
    </row>
    <row r="49" spans="1:72" x14ac:dyDescent="0.35">
      <c r="A49" t="s">
        <v>156</v>
      </c>
      <c r="B49" t="s">
        <v>157</v>
      </c>
      <c r="C49">
        <v>350</v>
      </c>
      <c r="D49">
        <v>350</v>
      </c>
      <c r="E49">
        <v>350</v>
      </c>
      <c r="F49">
        <v>3</v>
      </c>
      <c r="G49">
        <v>3</v>
      </c>
      <c r="H49">
        <v>3</v>
      </c>
      <c r="I49">
        <v>173783</v>
      </c>
      <c r="J49">
        <v>173783</v>
      </c>
      <c r="K49">
        <v>173783</v>
      </c>
      <c r="L49">
        <v>107091</v>
      </c>
      <c r="M49">
        <v>107091</v>
      </c>
      <c r="N49">
        <v>107091</v>
      </c>
      <c r="R49">
        <v>296</v>
      </c>
      <c r="S49">
        <v>296</v>
      </c>
      <c r="T49">
        <v>296</v>
      </c>
      <c r="U49">
        <v>10</v>
      </c>
      <c r="V49">
        <v>10</v>
      </c>
      <c r="W49">
        <v>10</v>
      </c>
      <c r="AA49">
        <v>19</v>
      </c>
      <c r="AB49">
        <v>19</v>
      </c>
      <c r="AC49">
        <v>19</v>
      </c>
      <c r="AD49">
        <v>51</v>
      </c>
      <c r="AE49">
        <v>51</v>
      </c>
      <c r="AF49">
        <v>51</v>
      </c>
      <c r="AS49">
        <v>296</v>
      </c>
      <c r="AT49">
        <v>296</v>
      </c>
      <c r="AU49">
        <v>296</v>
      </c>
      <c r="AY49">
        <v>66</v>
      </c>
      <c r="AZ49">
        <v>66</v>
      </c>
      <c r="BA49">
        <v>66</v>
      </c>
      <c r="BB49">
        <v>2</v>
      </c>
      <c r="BC49">
        <v>2</v>
      </c>
      <c r="BD49">
        <v>2</v>
      </c>
      <c r="BK49">
        <v>1</v>
      </c>
      <c r="BM49" t="b">
        <f t="shared" si="0"/>
        <v>0</v>
      </c>
      <c r="BN49" t="b">
        <f t="shared" si="1"/>
        <v>1</v>
      </c>
      <c r="BO49">
        <v>50</v>
      </c>
      <c r="BP49">
        <v>50</v>
      </c>
      <c r="BQ49">
        <v>50</v>
      </c>
      <c r="BR49">
        <v>0</v>
      </c>
      <c r="BS49" t="b">
        <f t="shared" si="2"/>
        <v>1</v>
      </c>
      <c r="BT49" t="b">
        <f t="shared" si="3"/>
        <v>1</v>
      </c>
    </row>
    <row r="50" spans="1:72" x14ac:dyDescent="0.35">
      <c r="A50" t="s">
        <v>158</v>
      </c>
      <c r="B50" t="s">
        <v>159</v>
      </c>
      <c r="C50">
        <v>11252</v>
      </c>
      <c r="D50">
        <v>11252</v>
      </c>
      <c r="E50">
        <v>11252</v>
      </c>
      <c r="F50">
        <v>1300</v>
      </c>
      <c r="H50">
        <v>1300</v>
      </c>
      <c r="I50">
        <v>14683683</v>
      </c>
      <c r="J50">
        <v>14683683</v>
      </c>
      <c r="K50">
        <v>14683683</v>
      </c>
      <c r="L50">
        <v>13866639</v>
      </c>
      <c r="M50">
        <v>13866639</v>
      </c>
      <c r="N50">
        <v>13866639</v>
      </c>
      <c r="P50">
        <v>4151250</v>
      </c>
      <c r="Q50">
        <v>4151250</v>
      </c>
      <c r="S50">
        <v>5452461</v>
      </c>
      <c r="T50">
        <v>5452461</v>
      </c>
      <c r="V50">
        <v>3128058</v>
      </c>
      <c r="W50">
        <v>3128058</v>
      </c>
      <c r="AQ50">
        <v>10948203</v>
      </c>
      <c r="AR50">
        <v>10948203</v>
      </c>
      <c r="AT50">
        <v>39561</v>
      </c>
      <c r="AU50">
        <v>39561</v>
      </c>
      <c r="AW50">
        <v>5000</v>
      </c>
      <c r="AX50">
        <v>5000</v>
      </c>
      <c r="AZ50">
        <v>29940</v>
      </c>
      <c r="BA50">
        <v>29940</v>
      </c>
      <c r="BC50">
        <v>20267</v>
      </c>
      <c r="BD50">
        <v>20267</v>
      </c>
      <c r="BF50">
        <v>3500</v>
      </c>
      <c r="BG50">
        <v>3500</v>
      </c>
      <c r="BI50">
        <v>452841</v>
      </c>
      <c r="BJ50">
        <v>452841</v>
      </c>
      <c r="BM50" t="b">
        <f t="shared" si="0"/>
        <v>0</v>
      </c>
      <c r="BN50" t="b">
        <f t="shared" si="1"/>
        <v>0</v>
      </c>
      <c r="BP50">
        <v>1790</v>
      </c>
      <c r="BQ50">
        <v>1790</v>
      </c>
      <c r="BS50" t="b">
        <f t="shared" si="2"/>
        <v>1</v>
      </c>
      <c r="BT50" t="b">
        <f t="shared" si="3"/>
        <v>1</v>
      </c>
    </row>
    <row r="51" spans="1:72" x14ac:dyDescent="0.35">
      <c r="A51" t="s">
        <v>160</v>
      </c>
      <c r="B51" t="s">
        <v>161</v>
      </c>
      <c r="D51">
        <v>36000</v>
      </c>
      <c r="E51">
        <v>36000</v>
      </c>
      <c r="G51">
        <v>181</v>
      </c>
      <c r="H51">
        <v>181</v>
      </c>
      <c r="J51">
        <v>1687524</v>
      </c>
      <c r="K51">
        <v>1687524</v>
      </c>
      <c r="M51">
        <v>1781200</v>
      </c>
      <c r="N51">
        <v>1781200</v>
      </c>
      <c r="P51">
        <v>22000</v>
      </c>
      <c r="Q51">
        <v>22000</v>
      </c>
      <c r="S51">
        <v>86000</v>
      </c>
      <c r="T51">
        <v>86000</v>
      </c>
      <c r="V51">
        <v>4353000</v>
      </c>
      <c r="W51">
        <v>4353000</v>
      </c>
      <c r="AB51">
        <v>158062</v>
      </c>
      <c r="AC51">
        <v>158062</v>
      </c>
      <c r="AE51">
        <v>1522045</v>
      </c>
      <c r="AF51">
        <v>1522045</v>
      </c>
      <c r="AK51">
        <v>830</v>
      </c>
      <c r="AL51">
        <v>830</v>
      </c>
      <c r="AQ51">
        <v>139000</v>
      </c>
      <c r="AR51">
        <v>139000</v>
      </c>
      <c r="AT51">
        <v>3100</v>
      </c>
      <c r="AU51">
        <v>3100</v>
      </c>
      <c r="AW51">
        <v>89500</v>
      </c>
      <c r="AX51">
        <v>89500</v>
      </c>
      <c r="AZ51">
        <v>14500</v>
      </c>
      <c r="BA51">
        <v>14500</v>
      </c>
      <c r="BC51">
        <v>4000</v>
      </c>
      <c r="BD51">
        <v>4000</v>
      </c>
      <c r="BM51" t="b">
        <f t="shared" si="0"/>
        <v>0</v>
      </c>
      <c r="BN51" t="b">
        <f t="shared" si="1"/>
        <v>0</v>
      </c>
      <c r="BP51">
        <v>5010</v>
      </c>
      <c r="BQ51">
        <v>5010</v>
      </c>
      <c r="BS51" t="b">
        <f t="shared" si="2"/>
        <v>1</v>
      </c>
      <c r="BT51" t="b">
        <f t="shared" si="3"/>
        <v>1</v>
      </c>
    </row>
    <row r="52" spans="1:72" x14ac:dyDescent="0.35">
      <c r="A52" t="s">
        <v>162</v>
      </c>
      <c r="B52" t="s">
        <v>163</v>
      </c>
      <c r="C52">
        <v>7414</v>
      </c>
      <c r="D52">
        <v>7414</v>
      </c>
      <c r="E52">
        <v>7414</v>
      </c>
      <c r="F52">
        <v>829</v>
      </c>
      <c r="G52">
        <v>829</v>
      </c>
      <c r="H52">
        <v>829</v>
      </c>
      <c r="I52">
        <v>25286556</v>
      </c>
      <c r="J52">
        <v>25286556</v>
      </c>
      <c r="K52">
        <v>25286556</v>
      </c>
      <c r="L52">
        <v>19914852</v>
      </c>
      <c r="M52">
        <v>19914852</v>
      </c>
      <c r="N52">
        <v>19914852</v>
      </c>
      <c r="O52">
        <v>43574</v>
      </c>
      <c r="P52">
        <v>43574</v>
      </c>
      <c r="Q52">
        <v>43574</v>
      </c>
      <c r="U52">
        <v>28795</v>
      </c>
      <c r="V52">
        <v>28795</v>
      </c>
      <c r="W52">
        <v>28795</v>
      </c>
      <c r="AD52">
        <v>18873</v>
      </c>
      <c r="AE52">
        <v>18873</v>
      </c>
      <c r="AF52">
        <v>18873</v>
      </c>
      <c r="AM52">
        <v>3376</v>
      </c>
      <c r="AN52">
        <v>3376</v>
      </c>
      <c r="AO52">
        <v>3376</v>
      </c>
      <c r="AP52">
        <v>154328</v>
      </c>
      <c r="AQ52">
        <v>154328</v>
      </c>
      <c r="AR52">
        <v>154328</v>
      </c>
      <c r="AS52">
        <v>12370</v>
      </c>
      <c r="AT52">
        <v>12370</v>
      </c>
      <c r="AU52">
        <v>12370</v>
      </c>
      <c r="AV52">
        <v>106877</v>
      </c>
      <c r="AW52">
        <v>106877</v>
      </c>
      <c r="AX52">
        <v>106877</v>
      </c>
      <c r="AY52">
        <v>30663</v>
      </c>
      <c r="AZ52">
        <v>30663</v>
      </c>
      <c r="BA52">
        <v>30663</v>
      </c>
      <c r="BB52">
        <v>24864</v>
      </c>
      <c r="BC52">
        <v>24864</v>
      </c>
      <c r="BD52">
        <v>24864</v>
      </c>
      <c r="BE52">
        <v>50091</v>
      </c>
      <c r="BF52">
        <v>50091</v>
      </c>
      <c r="BG52">
        <v>50091</v>
      </c>
      <c r="BK52">
        <v>0</v>
      </c>
      <c r="BL52">
        <v>255093</v>
      </c>
      <c r="BM52" t="b">
        <f t="shared" si="0"/>
        <v>1</v>
      </c>
      <c r="BN52" t="b">
        <f t="shared" si="1"/>
        <v>1</v>
      </c>
      <c r="BO52">
        <v>3210</v>
      </c>
      <c r="BP52">
        <v>3210</v>
      </c>
      <c r="BQ52">
        <v>3210</v>
      </c>
      <c r="BR52">
        <v>0</v>
      </c>
      <c r="BS52" t="b">
        <f t="shared" si="2"/>
        <v>1</v>
      </c>
      <c r="BT52" t="b">
        <f t="shared" si="3"/>
        <v>1</v>
      </c>
    </row>
    <row r="53" spans="1:72" x14ac:dyDescent="0.35">
      <c r="A53" t="s">
        <v>164</v>
      </c>
      <c r="B53" t="s">
        <v>165</v>
      </c>
      <c r="C53">
        <v>811</v>
      </c>
      <c r="D53">
        <v>811</v>
      </c>
      <c r="E53">
        <v>811</v>
      </c>
      <c r="F53">
        <v>29</v>
      </c>
      <c r="G53">
        <v>29</v>
      </c>
      <c r="H53">
        <v>29</v>
      </c>
      <c r="I53">
        <v>1770037</v>
      </c>
      <c r="J53">
        <v>1770037</v>
      </c>
      <c r="K53">
        <v>1770037</v>
      </c>
      <c r="L53">
        <v>2220553</v>
      </c>
      <c r="M53">
        <v>2220553</v>
      </c>
      <c r="N53">
        <v>2220553</v>
      </c>
      <c r="O53">
        <v>0</v>
      </c>
      <c r="Q53">
        <v>0</v>
      </c>
      <c r="R53">
        <v>2424</v>
      </c>
      <c r="S53">
        <v>2424</v>
      </c>
      <c r="T53">
        <v>2424</v>
      </c>
      <c r="U53">
        <v>0</v>
      </c>
      <c r="W53">
        <v>0</v>
      </c>
      <c r="AA53">
        <v>0</v>
      </c>
      <c r="AC53">
        <v>0</v>
      </c>
      <c r="AD53">
        <v>0</v>
      </c>
      <c r="AF53">
        <v>0</v>
      </c>
      <c r="AG53">
        <v>0</v>
      </c>
      <c r="AI53">
        <v>0</v>
      </c>
      <c r="AJ53">
        <v>0</v>
      </c>
      <c r="AL53">
        <v>0</v>
      </c>
      <c r="AM53">
        <v>1947</v>
      </c>
      <c r="AN53">
        <v>1947</v>
      </c>
      <c r="AO53">
        <v>1947</v>
      </c>
      <c r="AP53">
        <v>2243</v>
      </c>
      <c r="AQ53">
        <v>2243</v>
      </c>
      <c r="AR53">
        <v>2243</v>
      </c>
      <c r="AS53">
        <v>2243</v>
      </c>
      <c r="AT53">
        <v>2243</v>
      </c>
      <c r="AU53">
        <v>2243</v>
      </c>
      <c r="AV53">
        <v>0</v>
      </c>
      <c r="AX53">
        <v>0</v>
      </c>
      <c r="AY53">
        <v>9000</v>
      </c>
      <c r="AZ53">
        <v>9000</v>
      </c>
      <c r="BA53">
        <v>9000</v>
      </c>
      <c r="BB53">
        <v>538</v>
      </c>
      <c r="BC53">
        <v>538</v>
      </c>
      <c r="BD53">
        <v>538</v>
      </c>
      <c r="BE53">
        <v>0</v>
      </c>
      <c r="BG53">
        <v>0</v>
      </c>
      <c r="BH53">
        <v>32</v>
      </c>
      <c r="BI53">
        <v>32</v>
      </c>
      <c r="BJ53">
        <v>32</v>
      </c>
      <c r="BK53">
        <v>0</v>
      </c>
      <c r="BL53">
        <v>0</v>
      </c>
      <c r="BM53" t="b">
        <f t="shared" si="0"/>
        <v>0</v>
      </c>
      <c r="BN53" t="b">
        <f t="shared" si="1"/>
        <v>0</v>
      </c>
      <c r="BO53">
        <v>11243</v>
      </c>
      <c r="BP53">
        <v>11243</v>
      </c>
      <c r="BQ53">
        <v>11243</v>
      </c>
      <c r="BR53">
        <v>0</v>
      </c>
      <c r="BS53" t="b">
        <f t="shared" si="2"/>
        <v>1</v>
      </c>
      <c r="BT53" t="b">
        <f t="shared" si="3"/>
        <v>1</v>
      </c>
    </row>
    <row r="54" spans="1:72" x14ac:dyDescent="0.35">
      <c r="A54" t="s">
        <v>166</v>
      </c>
      <c r="B54" t="s">
        <v>167</v>
      </c>
      <c r="D54">
        <v>35040</v>
      </c>
      <c r="E54">
        <v>35040</v>
      </c>
      <c r="G54">
        <v>473</v>
      </c>
      <c r="H54">
        <v>473</v>
      </c>
      <c r="J54">
        <v>16726754</v>
      </c>
      <c r="K54">
        <v>16726754</v>
      </c>
      <c r="M54">
        <v>28098211</v>
      </c>
      <c r="N54">
        <v>28098211</v>
      </c>
      <c r="P54">
        <v>7662</v>
      </c>
      <c r="Q54">
        <v>7662</v>
      </c>
      <c r="S54">
        <v>214234</v>
      </c>
      <c r="T54">
        <v>214234</v>
      </c>
      <c r="V54">
        <v>27050</v>
      </c>
      <c r="W54">
        <v>27050</v>
      </c>
      <c r="AB54">
        <v>129</v>
      </c>
      <c r="AC54">
        <v>129</v>
      </c>
      <c r="AE54">
        <v>17716</v>
      </c>
      <c r="AF54">
        <v>17716</v>
      </c>
      <c r="AH54">
        <v>201915</v>
      </c>
      <c r="AI54">
        <v>201915</v>
      </c>
      <c r="AK54">
        <v>204838</v>
      </c>
      <c r="AL54">
        <v>204838</v>
      </c>
      <c r="AN54">
        <v>8567</v>
      </c>
      <c r="AO54">
        <v>8567</v>
      </c>
      <c r="AQ54">
        <v>47430</v>
      </c>
      <c r="AR54">
        <v>47430</v>
      </c>
      <c r="AT54">
        <v>4258</v>
      </c>
      <c r="AU54">
        <v>4258</v>
      </c>
      <c r="AW54">
        <v>606555</v>
      </c>
      <c r="AX54">
        <v>606555</v>
      </c>
      <c r="AZ54">
        <v>563554</v>
      </c>
      <c r="BA54">
        <v>563554</v>
      </c>
      <c r="BC54">
        <v>367576</v>
      </c>
      <c r="BD54">
        <v>367576</v>
      </c>
      <c r="BF54">
        <v>24254</v>
      </c>
      <c r="BG54">
        <v>24254</v>
      </c>
      <c r="BI54">
        <v>4927</v>
      </c>
      <c r="BJ54">
        <v>4927</v>
      </c>
      <c r="BM54" t="b">
        <f t="shared" si="0"/>
        <v>0</v>
      </c>
      <c r="BN54" t="b">
        <f t="shared" si="1"/>
        <v>0</v>
      </c>
      <c r="BP54">
        <v>318</v>
      </c>
      <c r="BQ54">
        <v>318</v>
      </c>
      <c r="BS54" t="b">
        <f t="shared" si="2"/>
        <v>1</v>
      </c>
      <c r="BT54" t="b">
        <f t="shared" si="3"/>
        <v>1</v>
      </c>
    </row>
    <row r="55" spans="1:72" x14ac:dyDescent="0.35">
      <c r="A55" t="s">
        <v>168</v>
      </c>
      <c r="B55" t="s">
        <v>169</v>
      </c>
      <c r="C55">
        <v>231236</v>
      </c>
      <c r="D55">
        <v>231236</v>
      </c>
      <c r="E55">
        <v>231236</v>
      </c>
      <c r="F55">
        <v>15589</v>
      </c>
      <c r="G55">
        <v>15589</v>
      </c>
      <c r="H55">
        <v>15589</v>
      </c>
      <c r="I55">
        <v>1048359368</v>
      </c>
      <c r="J55">
        <v>1048359368</v>
      </c>
      <c r="K55">
        <v>1048359368</v>
      </c>
      <c r="L55">
        <v>1019510499</v>
      </c>
      <c r="M55">
        <v>1019510499</v>
      </c>
      <c r="N55">
        <v>1019510499</v>
      </c>
      <c r="O55">
        <v>301769</v>
      </c>
      <c r="P55">
        <v>301769</v>
      </c>
      <c r="Q55">
        <v>301769</v>
      </c>
      <c r="AG55">
        <v>56136</v>
      </c>
      <c r="AH55">
        <v>56136</v>
      </c>
      <c r="AI55">
        <v>56136</v>
      </c>
      <c r="AP55">
        <v>1177803</v>
      </c>
      <c r="AQ55">
        <v>1177803</v>
      </c>
      <c r="AR55">
        <v>1177803</v>
      </c>
      <c r="AS55">
        <v>7215</v>
      </c>
      <c r="AT55">
        <v>7215</v>
      </c>
      <c r="AU55">
        <v>7215</v>
      </c>
      <c r="BB55">
        <v>279741</v>
      </c>
      <c r="BC55">
        <v>279741</v>
      </c>
      <c r="BD55">
        <v>279741</v>
      </c>
      <c r="BE55">
        <v>55050</v>
      </c>
      <c r="BF55">
        <v>55050</v>
      </c>
      <c r="BG55">
        <v>55050</v>
      </c>
      <c r="BH55">
        <v>1605210</v>
      </c>
      <c r="BI55">
        <v>1605210</v>
      </c>
      <c r="BJ55">
        <v>1605210</v>
      </c>
      <c r="BK55">
        <v>0</v>
      </c>
      <c r="BM55" t="b">
        <f t="shared" si="0"/>
        <v>0</v>
      </c>
      <c r="BN55" t="b">
        <f t="shared" si="1"/>
        <v>0</v>
      </c>
      <c r="BR55">
        <v>0</v>
      </c>
      <c r="BS55" t="b">
        <f t="shared" si="2"/>
        <v>0</v>
      </c>
      <c r="BT55" t="b">
        <f t="shared" si="3"/>
        <v>0</v>
      </c>
    </row>
    <row r="56" spans="1:72" x14ac:dyDescent="0.35">
      <c r="A56" t="s">
        <v>170</v>
      </c>
      <c r="B56" t="s">
        <v>171</v>
      </c>
      <c r="C56">
        <v>48000</v>
      </c>
      <c r="D56">
        <v>48000</v>
      </c>
      <c r="E56">
        <v>48000</v>
      </c>
      <c r="F56">
        <v>2485</v>
      </c>
      <c r="G56">
        <v>2485</v>
      </c>
      <c r="H56">
        <v>2485</v>
      </c>
      <c r="I56">
        <v>24792254</v>
      </c>
      <c r="J56">
        <v>24792254</v>
      </c>
      <c r="K56">
        <v>24792254</v>
      </c>
      <c r="L56">
        <v>19668822</v>
      </c>
      <c r="M56">
        <v>19668822</v>
      </c>
      <c r="N56">
        <v>19668822</v>
      </c>
      <c r="O56">
        <v>1009869</v>
      </c>
      <c r="P56">
        <v>1009869</v>
      </c>
      <c r="Q56">
        <v>1009869</v>
      </c>
      <c r="U56">
        <v>672525</v>
      </c>
      <c r="V56">
        <v>672525</v>
      </c>
      <c r="W56">
        <v>672525</v>
      </c>
      <c r="AA56">
        <v>162428</v>
      </c>
      <c r="AB56">
        <v>162428</v>
      </c>
      <c r="AC56">
        <v>162428</v>
      </c>
      <c r="AD56">
        <v>48094</v>
      </c>
      <c r="AE56">
        <v>48094</v>
      </c>
      <c r="AF56">
        <v>48094</v>
      </c>
      <c r="AG56">
        <v>679251</v>
      </c>
      <c r="AI56">
        <v>679251</v>
      </c>
      <c r="AM56">
        <v>337145</v>
      </c>
      <c r="AN56">
        <v>337145</v>
      </c>
      <c r="AO56">
        <v>337145</v>
      </c>
      <c r="AP56">
        <v>1393812</v>
      </c>
      <c r="AQ56">
        <v>1393812</v>
      </c>
      <c r="AR56">
        <v>1393812</v>
      </c>
      <c r="AS56">
        <v>250000</v>
      </c>
      <c r="AT56">
        <v>250000</v>
      </c>
      <c r="AU56">
        <v>250000</v>
      </c>
      <c r="AV56">
        <v>7402</v>
      </c>
      <c r="AW56">
        <v>7402</v>
      </c>
      <c r="AX56">
        <v>7402</v>
      </c>
      <c r="AY56">
        <v>1500000</v>
      </c>
      <c r="AZ56">
        <v>1500000</v>
      </c>
      <c r="BA56">
        <v>1500000</v>
      </c>
      <c r="BB56">
        <v>205212</v>
      </c>
      <c r="BC56">
        <v>205212</v>
      </c>
      <c r="BD56">
        <v>205212</v>
      </c>
      <c r="BE56">
        <v>250000</v>
      </c>
      <c r="BF56">
        <v>250000</v>
      </c>
      <c r="BG56">
        <v>250000</v>
      </c>
      <c r="BK56">
        <v>1</v>
      </c>
      <c r="BM56" t="b">
        <f t="shared" si="0"/>
        <v>0</v>
      </c>
      <c r="BN56" t="b">
        <f t="shared" si="1"/>
        <v>1</v>
      </c>
      <c r="BO56">
        <v>8000</v>
      </c>
      <c r="BP56">
        <v>8000</v>
      </c>
      <c r="BQ56">
        <v>8000</v>
      </c>
      <c r="BR56">
        <v>0</v>
      </c>
      <c r="BS56" t="b">
        <f t="shared" si="2"/>
        <v>1</v>
      </c>
      <c r="BT56" t="b">
        <f t="shared" si="3"/>
        <v>1</v>
      </c>
    </row>
    <row r="57" spans="1:72" x14ac:dyDescent="0.35">
      <c r="A57" t="s">
        <v>172</v>
      </c>
      <c r="B57" t="s">
        <v>173</v>
      </c>
      <c r="C57">
        <v>35753</v>
      </c>
      <c r="E57">
        <v>35753</v>
      </c>
      <c r="F57">
        <v>947</v>
      </c>
      <c r="G57">
        <v>947</v>
      </c>
      <c r="H57">
        <v>947</v>
      </c>
      <c r="I57">
        <v>247316076</v>
      </c>
      <c r="J57">
        <v>247316076</v>
      </c>
      <c r="K57">
        <v>247316076</v>
      </c>
      <c r="L57">
        <v>245112026</v>
      </c>
      <c r="M57">
        <v>245112026</v>
      </c>
      <c r="N57">
        <v>245112026</v>
      </c>
      <c r="AD57">
        <v>266053</v>
      </c>
      <c r="AE57">
        <v>266053</v>
      </c>
      <c r="AF57">
        <v>266053</v>
      </c>
      <c r="AM57">
        <v>98752</v>
      </c>
      <c r="AN57">
        <v>98752</v>
      </c>
      <c r="AO57">
        <v>98752</v>
      </c>
      <c r="AP57">
        <v>4622703</v>
      </c>
      <c r="AQ57">
        <v>4622703</v>
      </c>
      <c r="AR57">
        <v>4622703</v>
      </c>
      <c r="AS57">
        <v>41719</v>
      </c>
      <c r="AT57">
        <v>41719</v>
      </c>
      <c r="AU57">
        <v>41719</v>
      </c>
      <c r="BB57">
        <v>43183</v>
      </c>
      <c r="BC57">
        <v>43183</v>
      </c>
      <c r="BD57">
        <v>43183</v>
      </c>
      <c r="BK57">
        <v>0</v>
      </c>
      <c r="BL57">
        <v>110681</v>
      </c>
      <c r="BM57" t="b">
        <f t="shared" si="0"/>
        <v>1</v>
      </c>
      <c r="BN57" t="b">
        <f t="shared" si="1"/>
        <v>1</v>
      </c>
      <c r="BO57">
        <v>100000</v>
      </c>
      <c r="BP57">
        <v>100000</v>
      </c>
      <c r="BQ57">
        <v>100000</v>
      </c>
      <c r="BR57">
        <v>0</v>
      </c>
      <c r="BS57" t="b">
        <f t="shared" si="2"/>
        <v>1</v>
      </c>
      <c r="BT57" t="b">
        <f t="shared" si="3"/>
        <v>1</v>
      </c>
    </row>
    <row r="58" spans="1:72" x14ac:dyDescent="0.35">
      <c r="A58" t="s">
        <v>174</v>
      </c>
      <c r="B58" t="s">
        <v>175</v>
      </c>
      <c r="D58">
        <v>704</v>
      </c>
      <c r="E58">
        <v>704</v>
      </c>
      <c r="G58">
        <v>42</v>
      </c>
      <c r="H58">
        <v>42</v>
      </c>
      <c r="J58">
        <v>1148405</v>
      </c>
      <c r="K58">
        <v>1148405</v>
      </c>
      <c r="M58">
        <v>1144221</v>
      </c>
      <c r="N58">
        <v>1144221</v>
      </c>
      <c r="P58">
        <v>3515</v>
      </c>
      <c r="Q58">
        <v>3515</v>
      </c>
      <c r="S58">
        <v>6225</v>
      </c>
      <c r="T58">
        <v>6225</v>
      </c>
      <c r="V58">
        <v>3000</v>
      </c>
      <c r="W58">
        <v>3000</v>
      </c>
      <c r="AQ58">
        <v>1356</v>
      </c>
      <c r="AR58">
        <v>1356</v>
      </c>
      <c r="BM58" t="b">
        <f t="shared" si="0"/>
        <v>0</v>
      </c>
      <c r="BN58" t="b">
        <f t="shared" si="1"/>
        <v>0</v>
      </c>
      <c r="BP58">
        <v>4555</v>
      </c>
      <c r="BQ58">
        <v>4555</v>
      </c>
      <c r="BS58" t="b">
        <f t="shared" si="2"/>
        <v>1</v>
      </c>
      <c r="BT58" t="b">
        <f t="shared" si="3"/>
        <v>1</v>
      </c>
    </row>
    <row r="59" spans="1:72" x14ac:dyDescent="0.35">
      <c r="A59" t="s">
        <v>176</v>
      </c>
      <c r="B59" t="s">
        <v>177</v>
      </c>
      <c r="D59">
        <v>275</v>
      </c>
      <c r="E59">
        <v>275</v>
      </c>
      <c r="G59">
        <v>9</v>
      </c>
      <c r="H59">
        <v>9</v>
      </c>
      <c r="J59">
        <v>530810</v>
      </c>
      <c r="K59">
        <v>530810</v>
      </c>
      <c r="M59">
        <v>317224</v>
      </c>
      <c r="N59">
        <v>317224</v>
      </c>
      <c r="BM59" t="b">
        <f t="shared" si="0"/>
        <v>0</v>
      </c>
      <c r="BN59" t="b">
        <f t="shared" si="1"/>
        <v>0</v>
      </c>
      <c r="BP59">
        <v>193</v>
      </c>
      <c r="BQ59">
        <v>193</v>
      </c>
      <c r="BS59" t="b">
        <f t="shared" si="2"/>
        <v>1</v>
      </c>
      <c r="BT59" t="b">
        <f t="shared" si="3"/>
        <v>1</v>
      </c>
    </row>
    <row r="60" spans="1:72" x14ac:dyDescent="0.35">
      <c r="A60" t="s">
        <v>178</v>
      </c>
      <c r="B60" t="s">
        <v>179</v>
      </c>
      <c r="C60">
        <v>96578</v>
      </c>
      <c r="D60">
        <v>96578</v>
      </c>
      <c r="E60">
        <v>96578</v>
      </c>
      <c r="F60">
        <v>19854</v>
      </c>
      <c r="G60">
        <v>19854</v>
      </c>
      <c r="H60">
        <v>19854</v>
      </c>
      <c r="I60">
        <v>1661577371</v>
      </c>
      <c r="J60">
        <v>1661577371</v>
      </c>
      <c r="K60">
        <v>1661577371</v>
      </c>
      <c r="L60">
        <v>1666634883</v>
      </c>
      <c r="M60">
        <v>1666634883</v>
      </c>
      <c r="N60">
        <v>1666634883</v>
      </c>
      <c r="R60">
        <v>659234</v>
      </c>
      <c r="S60">
        <v>659234</v>
      </c>
      <c r="T60">
        <v>659234</v>
      </c>
      <c r="AP60">
        <v>11271</v>
      </c>
      <c r="AQ60">
        <v>11271</v>
      </c>
      <c r="AR60">
        <v>11271</v>
      </c>
      <c r="BB60">
        <v>4944</v>
      </c>
      <c r="BC60">
        <v>4944</v>
      </c>
      <c r="BD60">
        <v>4944</v>
      </c>
      <c r="BE60">
        <v>50000</v>
      </c>
      <c r="BF60">
        <v>50000</v>
      </c>
      <c r="BG60">
        <v>50000</v>
      </c>
      <c r="BH60">
        <v>136573</v>
      </c>
      <c r="BI60">
        <v>136573</v>
      </c>
      <c r="BJ60">
        <v>136573</v>
      </c>
      <c r="BK60">
        <v>1</v>
      </c>
      <c r="BM60" t="b">
        <f t="shared" si="0"/>
        <v>0</v>
      </c>
      <c r="BN60" t="b">
        <f t="shared" si="1"/>
        <v>1</v>
      </c>
      <c r="BO60">
        <v>88847</v>
      </c>
      <c r="BP60">
        <v>88847</v>
      </c>
      <c r="BQ60">
        <v>88847</v>
      </c>
      <c r="BR60">
        <v>0</v>
      </c>
      <c r="BS60" t="b">
        <f t="shared" si="2"/>
        <v>1</v>
      </c>
      <c r="BT60" t="b">
        <f t="shared" si="3"/>
        <v>1</v>
      </c>
    </row>
    <row r="61" spans="1:72" x14ac:dyDescent="0.35">
      <c r="A61" t="s">
        <v>180</v>
      </c>
      <c r="B61" t="s">
        <v>181</v>
      </c>
      <c r="D61">
        <v>3835</v>
      </c>
      <c r="E61">
        <v>3835</v>
      </c>
      <c r="G61">
        <v>35</v>
      </c>
      <c r="H61">
        <v>35</v>
      </c>
      <c r="J61">
        <v>1047657</v>
      </c>
      <c r="K61">
        <v>1047657</v>
      </c>
      <c r="M61">
        <v>181292</v>
      </c>
      <c r="N61">
        <v>181292</v>
      </c>
      <c r="V61">
        <v>229</v>
      </c>
      <c r="W61">
        <v>229</v>
      </c>
      <c r="AH61">
        <v>7380</v>
      </c>
      <c r="AI61">
        <v>7380</v>
      </c>
      <c r="AQ61">
        <v>10270</v>
      </c>
      <c r="AR61">
        <v>10270</v>
      </c>
      <c r="AZ61">
        <v>15988</v>
      </c>
      <c r="BA61">
        <v>15988</v>
      </c>
      <c r="BF61">
        <v>40</v>
      </c>
      <c r="BG61">
        <v>40</v>
      </c>
      <c r="BM61" t="b">
        <f t="shared" si="0"/>
        <v>0</v>
      </c>
      <c r="BN61" t="b">
        <f t="shared" si="1"/>
        <v>0</v>
      </c>
      <c r="BP61">
        <v>694</v>
      </c>
      <c r="BQ61">
        <v>694</v>
      </c>
      <c r="BS61" t="b">
        <f t="shared" si="2"/>
        <v>1</v>
      </c>
      <c r="BT61" t="b">
        <f t="shared" si="3"/>
        <v>1</v>
      </c>
    </row>
    <row r="62" spans="1:72" x14ac:dyDescent="0.35">
      <c r="A62" t="s">
        <v>182</v>
      </c>
      <c r="B62" t="s">
        <v>183</v>
      </c>
      <c r="C62">
        <v>10279</v>
      </c>
      <c r="D62">
        <v>10279</v>
      </c>
      <c r="E62">
        <v>10279</v>
      </c>
      <c r="F62">
        <v>4084</v>
      </c>
      <c r="G62">
        <v>4084</v>
      </c>
      <c r="H62">
        <v>4084</v>
      </c>
      <c r="I62">
        <v>324471926</v>
      </c>
      <c r="J62">
        <v>324471926</v>
      </c>
      <c r="K62">
        <v>324471926</v>
      </c>
      <c r="L62">
        <v>350588561</v>
      </c>
      <c r="M62">
        <v>350588561</v>
      </c>
      <c r="N62">
        <v>350588561</v>
      </c>
      <c r="O62">
        <v>18930</v>
      </c>
      <c r="P62">
        <v>18930</v>
      </c>
      <c r="Q62">
        <v>18930</v>
      </c>
      <c r="AM62">
        <v>8049</v>
      </c>
      <c r="AN62">
        <v>8049</v>
      </c>
      <c r="AO62">
        <v>8049</v>
      </c>
      <c r="AP62">
        <v>106511</v>
      </c>
      <c r="AQ62">
        <v>106511</v>
      </c>
      <c r="AR62">
        <v>106511</v>
      </c>
      <c r="AS62">
        <v>8703</v>
      </c>
      <c r="AT62">
        <v>8703</v>
      </c>
      <c r="AU62">
        <v>8703</v>
      </c>
      <c r="BB62">
        <v>44252</v>
      </c>
      <c r="BC62">
        <v>44252</v>
      </c>
      <c r="BD62">
        <v>44252</v>
      </c>
      <c r="BK62">
        <v>1</v>
      </c>
      <c r="BM62" t="b">
        <f t="shared" si="0"/>
        <v>0</v>
      </c>
      <c r="BN62" t="b">
        <f t="shared" si="1"/>
        <v>1</v>
      </c>
      <c r="BO62">
        <v>106511</v>
      </c>
      <c r="BP62">
        <v>106511</v>
      </c>
      <c r="BQ62">
        <v>106511</v>
      </c>
      <c r="BR62">
        <v>0</v>
      </c>
      <c r="BS62" t="b">
        <f t="shared" si="2"/>
        <v>1</v>
      </c>
      <c r="BT62" t="b">
        <f t="shared" si="3"/>
        <v>1</v>
      </c>
    </row>
    <row r="63" spans="1:72" x14ac:dyDescent="0.35">
      <c r="A63" t="s">
        <v>184</v>
      </c>
      <c r="B63" t="s">
        <v>185</v>
      </c>
      <c r="D63">
        <v>78</v>
      </c>
      <c r="E63">
        <v>78</v>
      </c>
      <c r="G63">
        <v>1</v>
      </c>
      <c r="H63">
        <v>1</v>
      </c>
      <c r="V63">
        <v>26</v>
      </c>
      <c r="W63">
        <v>26</v>
      </c>
      <c r="AH63">
        <v>2</v>
      </c>
      <c r="AI63">
        <v>2</v>
      </c>
      <c r="BM63" t="b">
        <f t="shared" si="0"/>
        <v>0</v>
      </c>
      <c r="BN63" t="b">
        <f t="shared" si="1"/>
        <v>0</v>
      </c>
      <c r="BP63">
        <v>208</v>
      </c>
      <c r="BQ63">
        <v>208</v>
      </c>
      <c r="BS63" t="b">
        <f t="shared" si="2"/>
        <v>1</v>
      </c>
      <c r="BT63" t="b">
        <f t="shared" si="3"/>
        <v>1</v>
      </c>
    </row>
    <row r="64" spans="1:72" x14ac:dyDescent="0.35">
      <c r="A64" t="s">
        <v>186</v>
      </c>
      <c r="B64" t="s">
        <v>187</v>
      </c>
      <c r="D64">
        <v>15000</v>
      </c>
      <c r="E64">
        <v>15000</v>
      </c>
      <c r="G64">
        <v>182</v>
      </c>
      <c r="H64">
        <v>182</v>
      </c>
      <c r="J64">
        <v>1704460</v>
      </c>
      <c r="K64">
        <v>1704460</v>
      </c>
      <c r="M64">
        <v>1497112</v>
      </c>
      <c r="N64">
        <v>1497112</v>
      </c>
      <c r="P64">
        <v>200</v>
      </c>
      <c r="Q64">
        <v>200</v>
      </c>
      <c r="S64">
        <v>42496</v>
      </c>
      <c r="T64">
        <v>42496</v>
      </c>
      <c r="V64">
        <v>160</v>
      </c>
      <c r="W64">
        <v>160</v>
      </c>
      <c r="AB64">
        <v>650</v>
      </c>
      <c r="AC64">
        <v>650</v>
      </c>
      <c r="AE64">
        <v>28075</v>
      </c>
      <c r="AF64">
        <v>28075</v>
      </c>
      <c r="AH64">
        <v>2000</v>
      </c>
      <c r="AI64">
        <v>2000</v>
      </c>
      <c r="AK64">
        <v>37</v>
      </c>
      <c r="AL64">
        <v>37</v>
      </c>
      <c r="AN64">
        <v>9931</v>
      </c>
      <c r="AO64">
        <v>9931</v>
      </c>
      <c r="AQ64">
        <v>329000</v>
      </c>
      <c r="AR64">
        <v>329000</v>
      </c>
      <c r="AT64">
        <v>17520</v>
      </c>
      <c r="AU64">
        <v>17520</v>
      </c>
      <c r="AW64">
        <v>11249</v>
      </c>
      <c r="AX64">
        <v>11249</v>
      </c>
      <c r="AZ64">
        <v>882</v>
      </c>
      <c r="BA64">
        <v>882</v>
      </c>
      <c r="BC64">
        <v>200</v>
      </c>
      <c r="BD64">
        <v>200</v>
      </c>
      <c r="BF64">
        <v>270</v>
      </c>
      <c r="BG64">
        <v>270</v>
      </c>
      <c r="BI64">
        <v>39600</v>
      </c>
      <c r="BJ64">
        <v>39600</v>
      </c>
      <c r="BM64" t="b">
        <f t="shared" si="0"/>
        <v>0</v>
      </c>
      <c r="BN64" t="b">
        <f t="shared" si="1"/>
        <v>0</v>
      </c>
      <c r="BP64">
        <v>6000</v>
      </c>
      <c r="BQ64">
        <v>6000</v>
      </c>
      <c r="BS64" t="b">
        <f t="shared" si="2"/>
        <v>1</v>
      </c>
      <c r="BT64" t="b">
        <f t="shared" si="3"/>
        <v>1</v>
      </c>
    </row>
    <row r="65" spans="1:72" x14ac:dyDescent="0.35">
      <c r="A65" t="s">
        <v>188</v>
      </c>
      <c r="B65" t="s">
        <v>189</v>
      </c>
      <c r="C65">
        <v>66524</v>
      </c>
      <c r="D65">
        <v>66524</v>
      </c>
      <c r="E65">
        <v>66524</v>
      </c>
      <c r="F65">
        <v>58</v>
      </c>
      <c r="G65">
        <v>58</v>
      </c>
      <c r="H65">
        <v>58</v>
      </c>
      <c r="I65">
        <v>802512</v>
      </c>
      <c r="J65">
        <v>802512</v>
      </c>
      <c r="K65">
        <v>802512</v>
      </c>
      <c r="L65">
        <v>840217</v>
      </c>
      <c r="M65">
        <v>840217</v>
      </c>
      <c r="N65">
        <v>840217</v>
      </c>
      <c r="O65">
        <v>75000</v>
      </c>
      <c r="P65">
        <v>75000</v>
      </c>
      <c r="Q65">
        <v>75000</v>
      </c>
      <c r="R65">
        <v>360170</v>
      </c>
      <c r="S65">
        <v>360170</v>
      </c>
      <c r="T65">
        <v>360170</v>
      </c>
      <c r="U65">
        <v>425850</v>
      </c>
      <c r="V65">
        <v>425850</v>
      </c>
      <c r="W65">
        <v>425850</v>
      </c>
      <c r="AA65">
        <v>2500</v>
      </c>
      <c r="AB65">
        <v>2500</v>
      </c>
      <c r="AC65">
        <v>2500</v>
      </c>
      <c r="AD65">
        <v>72000</v>
      </c>
      <c r="AE65">
        <v>72000</v>
      </c>
      <c r="AF65">
        <v>72000</v>
      </c>
      <c r="AG65">
        <v>360170</v>
      </c>
      <c r="AI65">
        <v>360170</v>
      </c>
      <c r="AM65">
        <v>72000</v>
      </c>
      <c r="AN65">
        <v>72000</v>
      </c>
      <c r="AO65">
        <v>72000</v>
      </c>
      <c r="AP65">
        <v>370500</v>
      </c>
      <c r="AQ65">
        <v>370500</v>
      </c>
      <c r="AR65">
        <v>370500</v>
      </c>
      <c r="AS65">
        <v>12000</v>
      </c>
      <c r="AT65">
        <v>12000</v>
      </c>
      <c r="AU65">
        <v>12000</v>
      </c>
      <c r="AV65">
        <v>0</v>
      </c>
      <c r="AX65">
        <v>0</v>
      </c>
      <c r="AY65">
        <v>360170</v>
      </c>
      <c r="AZ65">
        <v>360170</v>
      </c>
      <c r="BA65">
        <v>360170</v>
      </c>
      <c r="BB65">
        <v>0</v>
      </c>
      <c r="BD65">
        <v>0</v>
      </c>
      <c r="BE65">
        <v>46500</v>
      </c>
      <c r="BF65">
        <v>46500</v>
      </c>
      <c r="BG65">
        <v>46500</v>
      </c>
      <c r="BH65">
        <v>4008570</v>
      </c>
      <c r="BI65">
        <v>4008570</v>
      </c>
      <c r="BJ65">
        <v>4008570</v>
      </c>
      <c r="BK65">
        <v>1</v>
      </c>
      <c r="BM65" t="b">
        <f t="shared" si="0"/>
        <v>0</v>
      </c>
      <c r="BN65" t="b">
        <f t="shared" si="1"/>
        <v>1</v>
      </c>
      <c r="BO65">
        <v>8500</v>
      </c>
      <c r="BP65">
        <v>8500</v>
      </c>
      <c r="BQ65">
        <v>8500</v>
      </c>
      <c r="BR65">
        <v>0</v>
      </c>
      <c r="BS65" t="b">
        <f t="shared" si="2"/>
        <v>1</v>
      </c>
      <c r="BT65" t="b">
        <f t="shared" si="3"/>
        <v>1</v>
      </c>
    </row>
    <row r="66" spans="1:72" x14ac:dyDescent="0.35">
      <c r="A66" t="s">
        <v>190</v>
      </c>
      <c r="B66" t="s">
        <v>191</v>
      </c>
      <c r="D66">
        <v>17889</v>
      </c>
      <c r="E66">
        <v>17889</v>
      </c>
      <c r="G66">
        <v>56</v>
      </c>
      <c r="H66">
        <v>56</v>
      </c>
      <c r="J66">
        <v>964935</v>
      </c>
      <c r="K66">
        <v>964935</v>
      </c>
      <c r="M66">
        <v>568326</v>
      </c>
      <c r="N66">
        <v>568326</v>
      </c>
      <c r="P66">
        <v>8616</v>
      </c>
      <c r="Q66">
        <v>8616</v>
      </c>
      <c r="V66">
        <v>21394</v>
      </c>
      <c r="W66">
        <v>21394</v>
      </c>
      <c r="AB66">
        <v>1884</v>
      </c>
      <c r="AC66">
        <v>1884</v>
      </c>
      <c r="AE66">
        <v>4133</v>
      </c>
      <c r="AF66">
        <v>4133</v>
      </c>
      <c r="AH66">
        <v>2429</v>
      </c>
      <c r="AI66">
        <v>2429</v>
      </c>
      <c r="AN66">
        <v>16162</v>
      </c>
      <c r="AO66">
        <v>16162</v>
      </c>
      <c r="AQ66">
        <v>1432460</v>
      </c>
      <c r="AR66">
        <v>1432460</v>
      </c>
      <c r="AT66">
        <v>609723</v>
      </c>
      <c r="AU66">
        <v>609723</v>
      </c>
      <c r="AW66">
        <v>487769</v>
      </c>
      <c r="AX66">
        <v>487769</v>
      </c>
      <c r="AZ66">
        <v>627692</v>
      </c>
      <c r="BA66">
        <v>627692</v>
      </c>
      <c r="BC66">
        <v>15347</v>
      </c>
      <c r="BD66">
        <v>15347</v>
      </c>
      <c r="BF66">
        <v>518382</v>
      </c>
      <c r="BG66">
        <v>518382</v>
      </c>
      <c r="BI66">
        <v>311</v>
      </c>
      <c r="BJ66">
        <v>311</v>
      </c>
      <c r="BM66" t="b">
        <f t="shared" si="0"/>
        <v>0</v>
      </c>
      <c r="BN66" t="b">
        <f t="shared" si="1"/>
        <v>0</v>
      </c>
      <c r="BP66">
        <v>16447</v>
      </c>
      <c r="BQ66">
        <v>16447</v>
      </c>
      <c r="BS66" t="b">
        <f t="shared" si="2"/>
        <v>1</v>
      </c>
      <c r="BT66" t="b">
        <f t="shared" si="3"/>
        <v>1</v>
      </c>
    </row>
    <row r="67" spans="1:72" x14ac:dyDescent="0.35">
      <c r="A67" t="s">
        <v>192</v>
      </c>
      <c r="B67" t="s">
        <v>193</v>
      </c>
      <c r="C67">
        <v>30600</v>
      </c>
      <c r="E67">
        <v>30600</v>
      </c>
      <c r="F67">
        <v>121</v>
      </c>
      <c r="G67">
        <v>121</v>
      </c>
      <c r="H67">
        <v>121</v>
      </c>
      <c r="I67">
        <v>4161661</v>
      </c>
      <c r="J67">
        <v>4161661</v>
      </c>
      <c r="K67">
        <v>4161661</v>
      </c>
      <c r="L67">
        <v>4102407</v>
      </c>
      <c r="N67">
        <v>4102407</v>
      </c>
      <c r="O67">
        <v>62923</v>
      </c>
      <c r="P67">
        <v>62923</v>
      </c>
      <c r="Q67">
        <v>62923</v>
      </c>
      <c r="U67">
        <v>86315</v>
      </c>
      <c r="V67">
        <v>86315</v>
      </c>
      <c r="W67">
        <v>86315</v>
      </c>
      <c r="AA67">
        <v>20587</v>
      </c>
      <c r="AB67">
        <v>20587</v>
      </c>
      <c r="AC67">
        <v>20587</v>
      </c>
      <c r="AD67">
        <v>62922</v>
      </c>
      <c r="AE67">
        <v>62922</v>
      </c>
      <c r="AF67">
        <v>62922</v>
      </c>
      <c r="AG67">
        <v>119064</v>
      </c>
      <c r="AI67">
        <v>119064</v>
      </c>
      <c r="AJ67">
        <v>49106</v>
      </c>
      <c r="AK67">
        <v>49106</v>
      </c>
      <c r="AL67">
        <v>49106</v>
      </c>
      <c r="AM67">
        <v>62922</v>
      </c>
      <c r="AN67">
        <v>62922</v>
      </c>
      <c r="AO67">
        <v>62922</v>
      </c>
      <c r="AP67">
        <v>8562071</v>
      </c>
      <c r="AQ67">
        <v>8562071</v>
      </c>
      <c r="AR67">
        <v>8562071</v>
      </c>
      <c r="AS67">
        <v>133114</v>
      </c>
      <c r="AT67">
        <v>133114</v>
      </c>
      <c r="AU67">
        <v>133114</v>
      </c>
      <c r="AV67">
        <v>4502644</v>
      </c>
      <c r="AW67">
        <v>4502644</v>
      </c>
      <c r="AX67">
        <v>4502644</v>
      </c>
      <c r="AY67">
        <v>40478</v>
      </c>
      <c r="AZ67">
        <v>40478</v>
      </c>
      <c r="BA67">
        <v>40478</v>
      </c>
      <c r="BB67">
        <v>313</v>
      </c>
      <c r="BC67">
        <v>313</v>
      </c>
      <c r="BD67">
        <v>313</v>
      </c>
      <c r="BE67">
        <v>62924</v>
      </c>
      <c r="BF67">
        <v>62924</v>
      </c>
      <c r="BG67">
        <v>62924</v>
      </c>
      <c r="BK67">
        <v>0</v>
      </c>
      <c r="BL67">
        <v>3009</v>
      </c>
      <c r="BM67" t="b">
        <f t="shared" ref="BM67:BM130" si="4">BL67&gt;0</f>
        <v>1</v>
      </c>
      <c r="BN67" t="b">
        <f t="shared" ref="BN67:BN130" si="5">OR(BK67,BM67)</f>
        <v>1</v>
      </c>
      <c r="BO67">
        <v>4948</v>
      </c>
      <c r="BP67">
        <v>4948</v>
      </c>
      <c r="BQ67">
        <v>4948</v>
      </c>
      <c r="BR67">
        <v>0</v>
      </c>
      <c r="BS67" t="b">
        <f t="shared" ref="BS67:BS130" si="6">BQ67&gt;0</f>
        <v>1</v>
      </c>
      <c r="BT67" t="b">
        <f t="shared" ref="BT67:BT130" si="7">OR(BS67,BR67)</f>
        <v>1</v>
      </c>
    </row>
    <row r="68" spans="1:72" x14ac:dyDescent="0.35">
      <c r="A68" t="s">
        <v>194</v>
      </c>
      <c r="B68" t="s">
        <v>195</v>
      </c>
      <c r="D68">
        <v>500</v>
      </c>
      <c r="E68">
        <v>500</v>
      </c>
      <c r="G68">
        <v>28</v>
      </c>
      <c r="H68">
        <v>28</v>
      </c>
      <c r="J68">
        <v>189963</v>
      </c>
      <c r="K68">
        <v>189963</v>
      </c>
      <c r="M68">
        <v>146463</v>
      </c>
      <c r="N68">
        <v>146463</v>
      </c>
      <c r="P68">
        <v>89</v>
      </c>
      <c r="Q68">
        <v>89</v>
      </c>
      <c r="V68">
        <v>89</v>
      </c>
      <c r="W68">
        <v>89</v>
      </c>
      <c r="AB68">
        <v>89</v>
      </c>
      <c r="AC68">
        <v>89</v>
      </c>
      <c r="AE68">
        <v>89</v>
      </c>
      <c r="AF68">
        <v>89</v>
      </c>
      <c r="AN68">
        <v>2250</v>
      </c>
      <c r="AO68">
        <v>2250</v>
      </c>
      <c r="AQ68">
        <v>8089</v>
      </c>
      <c r="AR68">
        <v>8089</v>
      </c>
      <c r="AT68">
        <v>89</v>
      </c>
      <c r="AU68">
        <v>89</v>
      </c>
      <c r="AZ68">
        <v>8089</v>
      </c>
      <c r="BA68">
        <v>8089</v>
      </c>
      <c r="BC68">
        <v>89</v>
      </c>
      <c r="BD68">
        <v>89</v>
      </c>
      <c r="BF68">
        <v>89</v>
      </c>
      <c r="BG68">
        <v>89</v>
      </c>
      <c r="BI68">
        <v>30</v>
      </c>
      <c r="BJ68">
        <v>30</v>
      </c>
      <c r="BM68" t="b">
        <f t="shared" si="4"/>
        <v>0</v>
      </c>
      <c r="BN68" t="b">
        <f t="shared" si="5"/>
        <v>0</v>
      </c>
      <c r="BP68">
        <v>15</v>
      </c>
      <c r="BQ68">
        <v>15</v>
      </c>
      <c r="BS68" t="b">
        <f t="shared" si="6"/>
        <v>1</v>
      </c>
      <c r="BT68" t="b">
        <f t="shared" si="7"/>
        <v>1</v>
      </c>
    </row>
    <row r="69" spans="1:72" x14ac:dyDescent="0.35">
      <c r="A69" t="s">
        <v>196</v>
      </c>
      <c r="B69" t="s">
        <v>197</v>
      </c>
      <c r="C69">
        <v>5680</v>
      </c>
      <c r="E69">
        <v>5680</v>
      </c>
      <c r="F69">
        <v>517</v>
      </c>
      <c r="G69">
        <v>517</v>
      </c>
      <c r="H69">
        <v>517</v>
      </c>
      <c r="I69">
        <v>15229425</v>
      </c>
      <c r="J69">
        <v>15229425</v>
      </c>
      <c r="K69">
        <v>15229425</v>
      </c>
      <c r="L69">
        <v>16246602</v>
      </c>
      <c r="M69">
        <v>16246602</v>
      </c>
      <c r="N69">
        <v>16246602</v>
      </c>
      <c r="O69">
        <v>15038</v>
      </c>
      <c r="P69">
        <v>151038</v>
      </c>
      <c r="Q69">
        <v>15038</v>
      </c>
      <c r="R69">
        <v>92224</v>
      </c>
      <c r="S69">
        <v>92224</v>
      </c>
      <c r="T69">
        <v>92224</v>
      </c>
      <c r="U69">
        <v>153648</v>
      </c>
      <c r="V69">
        <v>153648</v>
      </c>
      <c r="W69">
        <v>153648</v>
      </c>
      <c r="AA69">
        <v>300</v>
      </c>
      <c r="AB69">
        <v>300</v>
      </c>
      <c r="AC69">
        <v>300</v>
      </c>
      <c r="AD69">
        <v>31194</v>
      </c>
      <c r="AE69">
        <v>31194</v>
      </c>
      <c r="AF69">
        <v>31194</v>
      </c>
      <c r="AG69">
        <v>149887</v>
      </c>
      <c r="AI69">
        <v>149887</v>
      </c>
      <c r="AJ69">
        <v>161512</v>
      </c>
      <c r="AK69">
        <v>161512</v>
      </c>
      <c r="AL69">
        <v>161512</v>
      </c>
      <c r="AP69">
        <v>29323</v>
      </c>
      <c r="AQ69">
        <v>29323</v>
      </c>
      <c r="AR69">
        <v>29323</v>
      </c>
      <c r="AS69">
        <v>45828</v>
      </c>
      <c r="AT69">
        <v>45828</v>
      </c>
      <c r="AU69">
        <v>45828</v>
      </c>
      <c r="AV69">
        <v>3166</v>
      </c>
      <c r="AW69">
        <v>3166</v>
      </c>
      <c r="AX69">
        <v>3166</v>
      </c>
      <c r="AY69">
        <v>340</v>
      </c>
      <c r="AZ69">
        <v>340</v>
      </c>
      <c r="BA69">
        <v>340</v>
      </c>
      <c r="BB69">
        <v>55919</v>
      </c>
      <c r="BC69">
        <v>55919</v>
      </c>
      <c r="BD69">
        <v>55919</v>
      </c>
      <c r="BE69">
        <v>460</v>
      </c>
      <c r="BF69">
        <v>460</v>
      </c>
      <c r="BG69">
        <v>460</v>
      </c>
      <c r="BH69">
        <v>320</v>
      </c>
      <c r="BI69">
        <v>320</v>
      </c>
      <c r="BJ69">
        <v>320</v>
      </c>
      <c r="BK69">
        <v>0</v>
      </c>
      <c r="BL69">
        <v>3152</v>
      </c>
      <c r="BM69" t="b">
        <f t="shared" si="4"/>
        <v>1</v>
      </c>
      <c r="BN69" t="b">
        <f t="shared" si="5"/>
        <v>1</v>
      </c>
      <c r="BO69">
        <v>66322</v>
      </c>
      <c r="BP69">
        <v>66322</v>
      </c>
      <c r="BQ69">
        <v>66322</v>
      </c>
      <c r="BR69">
        <v>0</v>
      </c>
      <c r="BS69" t="b">
        <f t="shared" si="6"/>
        <v>1</v>
      </c>
      <c r="BT69" t="b">
        <f t="shared" si="7"/>
        <v>1</v>
      </c>
    </row>
    <row r="70" spans="1:72" x14ac:dyDescent="0.35">
      <c r="A70" t="s">
        <v>198</v>
      </c>
      <c r="B70" t="s">
        <v>199</v>
      </c>
      <c r="C70">
        <v>2000</v>
      </c>
      <c r="D70">
        <v>2000</v>
      </c>
      <c r="E70">
        <v>2000</v>
      </c>
      <c r="F70">
        <v>197</v>
      </c>
      <c r="G70">
        <v>197</v>
      </c>
      <c r="H70">
        <v>197</v>
      </c>
      <c r="J70">
        <v>6117896</v>
      </c>
      <c r="K70">
        <v>6117896</v>
      </c>
      <c r="M70">
        <v>5591019</v>
      </c>
      <c r="N70">
        <v>5591019</v>
      </c>
      <c r="P70">
        <v>9130</v>
      </c>
      <c r="Q70">
        <v>9130</v>
      </c>
      <c r="V70">
        <v>45650</v>
      </c>
      <c r="W70">
        <v>45650</v>
      </c>
      <c r="AE70">
        <v>6605</v>
      </c>
      <c r="AF70">
        <v>6605</v>
      </c>
      <c r="AH70">
        <v>4052</v>
      </c>
      <c r="AI70">
        <v>4052</v>
      </c>
      <c r="AK70">
        <v>3837</v>
      </c>
      <c r="AL70">
        <v>3837</v>
      </c>
      <c r="AN70">
        <v>6604</v>
      </c>
      <c r="AO70">
        <v>6604</v>
      </c>
      <c r="AQ70">
        <v>108382</v>
      </c>
      <c r="AR70">
        <v>108382</v>
      </c>
      <c r="AT70">
        <v>8197</v>
      </c>
      <c r="AU70">
        <v>8197</v>
      </c>
      <c r="AZ70">
        <v>7030</v>
      </c>
      <c r="BA70">
        <v>7030</v>
      </c>
      <c r="BC70">
        <v>66691</v>
      </c>
      <c r="BD70">
        <v>66691</v>
      </c>
      <c r="BF70">
        <v>6357</v>
      </c>
      <c r="BG70">
        <v>6357</v>
      </c>
      <c r="BI70">
        <v>7818</v>
      </c>
      <c r="BJ70">
        <v>7818</v>
      </c>
      <c r="BM70" t="b">
        <f t="shared" si="4"/>
        <v>0</v>
      </c>
      <c r="BN70" t="b">
        <f t="shared" si="5"/>
        <v>0</v>
      </c>
      <c r="BP70">
        <v>2173</v>
      </c>
      <c r="BQ70">
        <v>2173</v>
      </c>
      <c r="BS70" t="b">
        <f t="shared" si="6"/>
        <v>1</v>
      </c>
      <c r="BT70" t="b">
        <f t="shared" si="7"/>
        <v>1</v>
      </c>
    </row>
    <row r="71" spans="1:72" x14ac:dyDescent="0.35">
      <c r="A71" t="s">
        <v>200</v>
      </c>
      <c r="B71" t="s">
        <v>201</v>
      </c>
      <c r="C71">
        <v>5000</v>
      </c>
      <c r="D71">
        <v>5000</v>
      </c>
      <c r="E71">
        <v>5000</v>
      </c>
      <c r="F71">
        <v>16</v>
      </c>
      <c r="G71">
        <v>16</v>
      </c>
      <c r="H71">
        <v>16</v>
      </c>
      <c r="I71">
        <v>527376</v>
      </c>
      <c r="J71">
        <v>527376</v>
      </c>
      <c r="K71">
        <v>527376</v>
      </c>
      <c r="L71">
        <v>527376</v>
      </c>
      <c r="M71">
        <v>527376</v>
      </c>
      <c r="N71">
        <v>527376</v>
      </c>
      <c r="O71">
        <v>498</v>
      </c>
      <c r="P71">
        <v>498</v>
      </c>
      <c r="Q71">
        <v>498</v>
      </c>
      <c r="U71">
        <v>2030</v>
      </c>
      <c r="V71">
        <v>2030</v>
      </c>
      <c r="W71">
        <v>2030</v>
      </c>
      <c r="AA71">
        <v>0</v>
      </c>
      <c r="AC71">
        <v>0</v>
      </c>
      <c r="AD71">
        <v>0</v>
      </c>
      <c r="AF71">
        <v>0</v>
      </c>
      <c r="AJ71">
        <v>0</v>
      </c>
      <c r="AL71">
        <v>0</v>
      </c>
      <c r="AM71">
        <v>0</v>
      </c>
      <c r="AO71">
        <v>0</v>
      </c>
      <c r="AV71">
        <v>0</v>
      </c>
      <c r="AX71">
        <v>0</v>
      </c>
      <c r="AY71">
        <v>0</v>
      </c>
      <c r="BA71">
        <v>0</v>
      </c>
      <c r="BB71">
        <v>0</v>
      </c>
      <c r="BD71">
        <v>0</v>
      </c>
      <c r="BE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 t="b">
        <f t="shared" si="4"/>
        <v>0</v>
      </c>
      <c r="BN71" t="b">
        <f t="shared" si="5"/>
        <v>0</v>
      </c>
      <c r="BO71">
        <v>550</v>
      </c>
      <c r="BP71">
        <v>550</v>
      </c>
      <c r="BQ71">
        <v>550</v>
      </c>
      <c r="BR71">
        <v>0</v>
      </c>
      <c r="BS71" t="b">
        <f t="shared" si="6"/>
        <v>1</v>
      </c>
      <c r="BT71" t="b">
        <f t="shared" si="7"/>
        <v>1</v>
      </c>
    </row>
    <row r="72" spans="1:72" x14ac:dyDescent="0.35">
      <c r="A72" t="s">
        <v>202</v>
      </c>
      <c r="B72" t="s">
        <v>203</v>
      </c>
      <c r="D72">
        <v>100</v>
      </c>
      <c r="E72">
        <v>100</v>
      </c>
      <c r="G72">
        <v>11</v>
      </c>
      <c r="H72">
        <v>11</v>
      </c>
      <c r="J72">
        <v>52680</v>
      </c>
      <c r="K72">
        <v>52680</v>
      </c>
      <c r="M72">
        <v>49290</v>
      </c>
      <c r="N72">
        <v>49290</v>
      </c>
      <c r="P72">
        <v>324</v>
      </c>
      <c r="Q72">
        <v>324</v>
      </c>
      <c r="S72">
        <v>4017</v>
      </c>
      <c r="T72">
        <v>4017</v>
      </c>
      <c r="V72">
        <v>108</v>
      </c>
      <c r="W72">
        <v>108</v>
      </c>
      <c r="AB72">
        <v>96</v>
      </c>
      <c r="AC72">
        <v>96</v>
      </c>
      <c r="AE72">
        <v>324</v>
      </c>
      <c r="AF72">
        <v>324</v>
      </c>
      <c r="AN72">
        <v>263</v>
      </c>
      <c r="AO72">
        <v>263</v>
      </c>
      <c r="AQ72">
        <v>508</v>
      </c>
      <c r="AR72">
        <v>508</v>
      </c>
      <c r="AT72">
        <v>831</v>
      </c>
      <c r="AU72">
        <v>831</v>
      </c>
      <c r="AW72">
        <v>6329</v>
      </c>
      <c r="AX72">
        <v>6329</v>
      </c>
      <c r="AZ72">
        <v>96</v>
      </c>
      <c r="BA72">
        <v>96</v>
      </c>
      <c r="BC72">
        <v>42</v>
      </c>
      <c r="BD72">
        <v>42</v>
      </c>
      <c r="BF72">
        <v>1105</v>
      </c>
      <c r="BG72">
        <v>1105</v>
      </c>
      <c r="BI72">
        <v>31</v>
      </c>
      <c r="BJ72">
        <v>31</v>
      </c>
      <c r="BM72" t="b">
        <f t="shared" si="4"/>
        <v>0</v>
      </c>
      <c r="BN72" t="b">
        <f t="shared" si="5"/>
        <v>0</v>
      </c>
      <c r="BP72">
        <v>664</v>
      </c>
      <c r="BQ72">
        <v>664</v>
      </c>
      <c r="BS72" t="b">
        <f t="shared" si="6"/>
        <v>1</v>
      </c>
      <c r="BT72" t="b">
        <f t="shared" si="7"/>
        <v>1</v>
      </c>
    </row>
    <row r="73" spans="1:72" x14ac:dyDescent="0.35">
      <c r="A73" t="s">
        <v>204</v>
      </c>
      <c r="B73" t="s">
        <v>205</v>
      </c>
      <c r="D73">
        <v>6000</v>
      </c>
      <c r="E73">
        <v>6000</v>
      </c>
      <c r="G73">
        <v>533</v>
      </c>
      <c r="H73">
        <v>533</v>
      </c>
      <c r="J73">
        <v>22210229</v>
      </c>
      <c r="K73">
        <v>22210229</v>
      </c>
      <c r="M73">
        <v>17286937</v>
      </c>
      <c r="N73">
        <v>17286937</v>
      </c>
      <c r="P73">
        <v>25996</v>
      </c>
      <c r="Q73">
        <v>25996</v>
      </c>
      <c r="V73">
        <v>582348</v>
      </c>
      <c r="W73">
        <v>582348</v>
      </c>
      <c r="AE73">
        <v>1580</v>
      </c>
      <c r="AF73">
        <v>1580</v>
      </c>
      <c r="AH73">
        <v>379</v>
      </c>
      <c r="AI73">
        <v>379</v>
      </c>
      <c r="AK73">
        <v>336764</v>
      </c>
      <c r="AL73">
        <v>336764</v>
      </c>
      <c r="AN73">
        <v>25180</v>
      </c>
      <c r="AO73">
        <v>25180</v>
      </c>
      <c r="AQ73">
        <v>246696</v>
      </c>
      <c r="AR73">
        <v>246696</v>
      </c>
      <c r="AT73">
        <v>139632</v>
      </c>
      <c r="AU73">
        <v>139632</v>
      </c>
      <c r="AZ73">
        <v>31900</v>
      </c>
      <c r="BA73">
        <v>31900</v>
      </c>
      <c r="BC73">
        <v>710888</v>
      </c>
      <c r="BD73">
        <v>710888</v>
      </c>
      <c r="BF73">
        <v>5936</v>
      </c>
      <c r="BG73">
        <v>5936</v>
      </c>
      <c r="BI73">
        <v>12632</v>
      </c>
      <c r="BJ73">
        <v>12632</v>
      </c>
      <c r="BM73" t="b">
        <f t="shared" si="4"/>
        <v>0</v>
      </c>
      <c r="BN73" t="b">
        <f t="shared" si="5"/>
        <v>0</v>
      </c>
      <c r="BP73">
        <v>5447</v>
      </c>
      <c r="BQ73">
        <v>5447</v>
      </c>
      <c r="BS73" t="b">
        <f t="shared" si="6"/>
        <v>1</v>
      </c>
      <c r="BT73" t="b">
        <f t="shared" si="7"/>
        <v>1</v>
      </c>
    </row>
    <row r="74" spans="1:72" x14ac:dyDescent="0.35">
      <c r="A74" t="s">
        <v>206</v>
      </c>
      <c r="B74" t="s">
        <v>207</v>
      </c>
      <c r="C74">
        <v>6894</v>
      </c>
      <c r="E74">
        <v>6894</v>
      </c>
      <c r="F74">
        <v>2026</v>
      </c>
      <c r="G74">
        <v>2026</v>
      </c>
      <c r="H74">
        <v>2026</v>
      </c>
      <c r="I74">
        <v>7938265</v>
      </c>
      <c r="K74">
        <v>7938265</v>
      </c>
      <c r="L74">
        <v>7423364</v>
      </c>
      <c r="M74">
        <v>7423364</v>
      </c>
      <c r="N74">
        <v>7423364</v>
      </c>
      <c r="O74">
        <v>18211</v>
      </c>
      <c r="P74">
        <v>18211</v>
      </c>
      <c r="Q74">
        <v>18211</v>
      </c>
      <c r="R74">
        <v>610116</v>
      </c>
      <c r="S74">
        <v>610116</v>
      </c>
      <c r="T74">
        <v>610116</v>
      </c>
      <c r="U74">
        <v>25164</v>
      </c>
      <c r="V74">
        <v>25164</v>
      </c>
      <c r="W74">
        <v>25164</v>
      </c>
      <c r="AA74">
        <v>293</v>
      </c>
      <c r="AB74">
        <v>293</v>
      </c>
      <c r="AC74">
        <v>293</v>
      </c>
      <c r="AD74">
        <v>89653</v>
      </c>
      <c r="AE74">
        <v>89653</v>
      </c>
      <c r="AF74">
        <v>89653</v>
      </c>
      <c r="AG74">
        <v>40372</v>
      </c>
      <c r="AI74">
        <v>40372</v>
      </c>
      <c r="AJ74">
        <v>26219</v>
      </c>
      <c r="AL74">
        <v>26219</v>
      </c>
      <c r="AM74">
        <v>0</v>
      </c>
      <c r="AO74">
        <v>0</v>
      </c>
      <c r="AP74">
        <v>321111</v>
      </c>
      <c r="AQ74">
        <v>321111</v>
      </c>
      <c r="AR74">
        <v>321111</v>
      </c>
      <c r="AS74">
        <v>10194</v>
      </c>
      <c r="AT74">
        <v>10194</v>
      </c>
      <c r="AU74">
        <v>10194</v>
      </c>
      <c r="AY74">
        <v>63159</v>
      </c>
      <c r="AZ74">
        <v>63159</v>
      </c>
      <c r="BA74">
        <v>63159</v>
      </c>
      <c r="BB74">
        <v>34288</v>
      </c>
      <c r="BC74">
        <v>34288</v>
      </c>
      <c r="BD74">
        <v>34288</v>
      </c>
      <c r="BE74">
        <v>27256</v>
      </c>
      <c r="BF74">
        <v>27256</v>
      </c>
      <c r="BG74">
        <v>27256</v>
      </c>
      <c r="BH74">
        <v>343562</v>
      </c>
      <c r="BI74">
        <v>343562</v>
      </c>
      <c r="BJ74">
        <v>343562</v>
      </c>
      <c r="BK74">
        <v>0</v>
      </c>
      <c r="BL74">
        <v>114597</v>
      </c>
      <c r="BM74" t="b">
        <f t="shared" si="4"/>
        <v>1</v>
      </c>
      <c r="BN74" t="b">
        <f t="shared" si="5"/>
        <v>1</v>
      </c>
      <c r="BO74">
        <v>103255</v>
      </c>
      <c r="BP74">
        <v>103255</v>
      </c>
      <c r="BQ74">
        <v>103255</v>
      </c>
      <c r="BR74">
        <v>0</v>
      </c>
      <c r="BS74" t="b">
        <f t="shared" si="6"/>
        <v>1</v>
      </c>
      <c r="BT74" t="b">
        <f t="shared" si="7"/>
        <v>1</v>
      </c>
    </row>
    <row r="75" spans="1:72" x14ac:dyDescent="0.35">
      <c r="A75" t="s">
        <v>208</v>
      </c>
      <c r="B75" t="s">
        <v>209</v>
      </c>
      <c r="D75">
        <v>4940</v>
      </c>
      <c r="E75">
        <v>4940</v>
      </c>
      <c r="G75">
        <v>52</v>
      </c>
      <c r="H75">
        <v>52</v>
      </c>
      <c r="J75">
        <v>360109</v>
      </c>
      <c r="K75">
        <v>360109</v>
      </c>
      <c r="P75">
        <v>16506</v>
      </c>
      <c r="Q75">
        <v>16506</v>
      </c>
      <c r="V75">
        <v>16006</v>
      </c>
      <c r="W75">
        <v>16006</v>
      </c>
      <c r="AE75">
        <v>500</v>
      </c>
      <c r="AF75">
        <v>500</v>
      </c>
      <c r="AN75">
        <v>500</v>
      </c>
      <c r="AO75">
        <v>500</v>
      </c>
      <c r="AQ75">
        <v>16568</v>
      </c>
      <c r="AR75">
        <v>16568</v>
      </c>
      <c r="AT75">
        <v>750</v>
      </c>
      <c r="AU75">
        <v>750</v>
      </c>
      <c r="AZ75">
        <v>48660</v>
      </c>
      <c r="BA75">
        <v>48660</v>
      </c>
      <c r="BF75">
        <v>507</v>
      </c>
      <c r="BG75">
        <v>507</v>
      </c>
      <c r="BM75" t="b">
        <f t="shared" si="4"/>
        <v>0</v>
      </c>
      <c r="BN75" t="b">
        <f t="shared" si="5"/>
        <v>0</v>
      </c>
      <c r="BP75">
        <v>50</v>
      </c>
      <c r="BQ75">
        <v>50</v>
      </c>
      <c r="BS75" t="b">
        <f t="shared" si="6"/>
        <v>1</v>
      </c>
      <c r="BT75" t="b">
        <f t="shared" si="7"/>
        <v>1</v>
      </c>
    </row>
    <row r="76" spans="1:72" x14ac:dyDescent="0.35">
      <c r="A76" t="s">
        <v>210</v>
      </c>
      <c r="B76" t="s">
        <v>211</v>
      </c>
      <c r="C76">
        <v>8841</v>
      </c>
      <c r="D76">
        <v>8841</v>
      </c>
      <c r="E76">
        <v>8841</v>
      </c>
      <c r="F76">
        <v>950</v>
      </c>
      <c r="G76">
        <v>950</v>
      </c>
      <c r="H76">
        <v>950</v>
      </c>
      <c r="I76">
        <v>26732011</v>
      </c>
      <c r="J76">
        <v>26732011</v>
      </c>
      <c r="K76">
        <v>26732011</v>
      </c>
      <c r="L76">
        <v>26780862</v>
      </c>
      <c r="M76">
        <v>26780862</v>
      </c>
      <c r="N76">
        <v>26780862</v>
      </c>
      <c r="O76">
        <v>18511</v>
      </c>
      <c r="Q76">
        <v>18511</v>
      </c>
      <c r="AM76">
        <v>3006</v>
      </c>
      <c r="AN76">
        <v>3006</v>
      </c>
      <c r="AO76">
        <v>3006</v>
      </c>
      <c r="AP76">
        <v>7416</v>
      </c>
      <c r="AQ76">
        <v>7416</v>
      </c>
      <c r="AR76">
        <v>7416</v>
      </c>
      <c r="AS76">
        <v>6715</v>
      </c>
      <c r="AU76">
        <v>6715</v>
      </c>
      <c r="AY76">
        <v>7108</v>
      </c>
      <c r="AZ76">
        <v>7108</v>
      </c>
      <c r="BA76">
        <v>7108</v>
      </c>
      <c r="BB76">
        <v>10282</v>
      </c>
      <c r="BD76">
        <v>10282</v>
      </c>
      <c r="BE76">
        <v>636</v>
      </c>
      <c r="BF76">
        <v>636</v>
      </c>
      <c r="BG76">
        <v>636</v>
      </c>
      <c r="BK76">
        <v>0</v>
      </c>
      <c r="BL76">
        <v>406837</v>
      </c>
      <c r="BM76" t="b">
        <f t="shared" si="4"/>
        <v>1</v>
      </c>
      <c r="BN76" t="b">
        <f t="shared" si="5"/>
        <v>1</v>
      </c>
      <c r="BO76">
        <v>81551</v>
      </c>
      <c r="BP76">
        <v>81551</v>
      </c>
      <c r="BQ76">
        <v>81551</v>
      </c>
      <c r="BR76">
        <v>0</v>
      </c>
      <c r="BS76" t="b">
        <f t="shared" si="6"/>
        <v>1</v>
      </c>
      <c r="BT76" t="b">
        <f t="shared" si="7"/>
        <v>1</v>
      </c>
    </row>
    <row r="77" spans="1:72" x14ac:dyDescent="0.35">
      <c r="A77" t="s">
        <v>212</v>
      </c>
      <c r="B77" t="s">
        <v>213</v>
      </c>
      <c r="D77">
        <v>316617</v>
      </c>
      <c r="E77">
        <v>316617</v>
      </c>
      <c r="G77">
        <v>6598</v>
      </c>
      <c r="H77">
        <v>6598</v>
      </c>
      <c r="J77">
        <v>4895000</v>
      </c>
      <c r="K77">
        <v>4895000</v>
      </c>
      <c r="M77">
        <v>4675000</v>
      </c>
      <c r="N77">
        <v>4675000</v>
      </c>
      <c r="P77">
        <v>1150</v>
      </c>
      <c r="Q77">
        <v>1150</v>
      </c>
      <c r="S77">
        <v>6815740</v>
      </c>
      <c r="T77">
        <v>6815740</v>
      </c>
      <c r="V77">
        <v>2926</v>
      </c>
      <c r="W77">
        <v>2926</v>
      </c>
      <c r="AB77">
        <v>11033</v>
      </c>
      <c r="AC77">
        <v>11033</v>
      </c>
      <c r="AE77">
        <v>3116</v>
      </c>
      <c r="AF77">
        <v>3116</v>
      </c>
      <c r="AH77">
        <v>1771</v>
      </c>
      <c r="AI77">
        <v>1771</v>
      </c>
      <c r="AK77">
        <v>1771</v>
      </c>
      <c r="AL77">
        <v>1771</v>
      </c>
      <c r="AN77">
        <v>26560</v>
      </c>
      <c r="AO77">
        <v>26560</v>
      </c>
      <c r="AQ77">
        <v>39086</v>
      </c>
      <c r="AR77">
        <v>39086</v>
      </c>
      <c r="AT77">
        <v>3271</v>
      </c>
      <c r="AU77">
        <v>3271</v>
      </c>
      <c r="AW77">
        <v>315155</v>
      </c>
      <c r="AX77">
        <v>315155</v>
      </c>
      <c r="AZ77">
        <v>14245</v>
      </c>
      <c r="BA77">
        <v>14245</v>
      </c>
      <c r="BC77">
        <v>75</v>
      </c>
      <c r="BD77">
        <v>75</v>
      </c>
      <c r="BF77">
        <v>6056</v>
      </c>
      <c r="BG77">
        <v>6056</v>
      </c>
      <c r="BI77">
        <v>509683</v>
      </c>
      <c r="BJ77">
        <v>509683</v>
      </c>
      <c r="BM77" t="b">
        <f t="shared" si="4"/>
        <v>0</v>
      </c>
      <c r="BN77" t="b">
        <f t="shared" si="5"/>
        <v>0</v>
      </c>
      <c r="BP77">
        <v>68</v>
      </c>
      <c r="BQ77">
        <v>68</v>
      </c>
      <c r="BS77" t="b">
        <f t="shared" si="6"/>
        <v>1</v>
      </c>
      <c r="BT77" t="b">
        <f t="shared" si="7"/>
        <v>1</v>
      </c>
    </row>
    <row r="78" spans="1:72" x14ac:dyDescent="0.35">
      <c r="A78" t="s">
        <v>214</v>
      </c>
      <c r="B78" t="s">
        <v>215</v>
      </c>
      <c r="D78">
        <v>4664</v>
      </c>
      <c r="E78">
        <v>4664</v>
      </c>
      <c r="G78">
        <v>104</v>
      </c>
      <c r="H78">
        <v>104</v>
      </c>
      <c r="I78">
        <v>21850901</v>
      </c>
      <c r="J78">
        <v>21850901</v>
      </c>
      <c r="K78">
        <v>21850901</v>
      </c>
      <c r="L78">
        <v>24570327</v>
      </c>
      <c r="M78">
        <v>24570327</v>
      </c>
      <c r="N78">
        <v>24570327</v>
      </c>
      <c r="BM78" t="b">
        <f t="shared" si="4"/>
        <v>0</v>
      </c>
      <c r="BN78" t="b">
        <f t="shared" si="5"/>
        <v>0</v>
      </c>
      <c r="BS78" t="b">
        <f t="shared" si="6"/>
        <v>0</v>
      </c>
      <c r="BT78" t="b">
        <f t="shared" si="7"/>
        <v>0</v>
      </c>
    </row>
    <row r="79" spans="1:72" x14ac:dyDescent="0.35">
      <c r="A79" t="s">
        <v>216</v>
      </c>
      <c r="B79" t="s">
        <v>217</v>
      </c>
      <c r="C79">
        <v>35713</v>
      </c>
      <c r="D79">
        <v>35713</v>
      </c>
      <c r="E79">
        <v>35713</v>
      </c>
      <c r="F79">
        <v>3232</v>
      </c>
      <c r="G79">
        <v>3232</v>
      </c>
      <c r="H79">
        <v>3232</v>
      </c>
      <c r="J79">
        <v>323010</v>
      </c>
      <c r="K79">
        <v>323010</v>
      </c>
      <c r="M79">
        <v>355038</v>
      </c>
      <c r="N79">
        <v>355038</v>
      </c>
      <c r="AD79">
        <v>100000</v>
      </c>
      <c r="AE79">
        <v>100000</v>
      </c>
      <c r="AF79">
        <v>100000</v>
      </c>
      <c r="AP79">
        <v>3644612</v>
      </c>
      <c r="AQ79">
        <v>3644612</v>
      </c>
      <c r="AR79">
        <v>3644612</v>
      </c>
      <c r="BK79">
        <v>0</v>
      </c>
      <c r="BL79">
        <v>299731</v>
      </c>
      <c r="BM79" t="b">
        <f t="shared" si="4"/>
        <v>1</v>
      </c>
      <c r="BN79" t="b">
        <f t="shared" si="5"/>
        <v>1</v>
      </c>
      <c r="BO79">
        <v>500000</v>
      </c>
      <c r="BP79">
        <v>500000</v>
      </c>
      <c r="BQ79">
        <v>500000</v>
      </c>
      <c r="BR79">
        <v>0</v>
      </c>
      <c r="BS79" t="b">
        <f t="shared" si="6"/>
        <v>1</v>
      </c>
      <c r="BT79" t="b">
        <f t="shared" si="7"/>
        <v>1</v>
      </c>
    </row>
    <row r="80" spans="1:72" x14ac:dyDescent="0.35">
      <c r="A80" t="s">
        <v>218</v>
      </c>
      <c r="B80" t="s">
        <v>219</v>
      </c>
      <c r="D80">
        <v>4010811</v>
      </c>
      <c r="E80">
        <v>4010811</v>
      </c>
      <c r="G80">
        <v>2641</v>
      </c>
      <c r="H80">
        <v>2641</v>
      </c>
      <c r="J80">
        <v>2000000</v>
      </c>
      <c r="K80">
        <v>2000000</v>
      </c>
      <c r="M80">
        <v>13661588</v>
      </c>
      <c r="N80">
        <v>13661588</v>
      </c>
      <c r="P80">
        <v>407466</v>
      </c>
      <c r="Q80">
        <v>407466</v>
      </c>
      <c r="S80">
        <v>5370211</v>
      </c>
      <c r="T80">
        <v>5370211</v>
      </c>
      <c r="V80">
        <v>330744</v>
      </c>
      <c r="W80">
        <v>330744</v>
      </c>
      <c r="AB80">
        <v>65914</v>
      </c>
      <c r="AC80">
        <v>65914</v>
      </c>
      <c r="AE80">
        <v>37952</v>
      </c>
      <c r="AF80">
        <v>37952</v>
      </c>
      <c r="AH80">
        <v>237760</v>
      </c>
      <c r="AI80">
        <v>237760</v>
      </c>
      <c r="AN80">
        <v>1047891</v>
      </c>
      <c r="AO80">
        <v>1047891</v>
      </c>
      <c r="AQ80">
        <v>3956780</v>
      </c>
      <c r="AR80">
        <v>3956780</v>
      </c>
      <c r="AZ80">
        <v>1111420</v>
      </c>
      <c r="BA80">
        <v>1111420</v>
      </c>
      <c r="BC80">
        <v>243794</v>
      </c>
      <c r="BD80">
        <v>243794</v>
      </c>
      <c r="BF80">
        <v>734421</v>
      </c>
      <c r="BG80">
        <v>734421</v>
      </c>
      <c r="BI80">
        <v>543362</v>
      </c>
      <c r="BJ80">
        <v>543362</v>
      </c>
      <c r="BM80" t="b">
        <f t="shared" si="4"/>
        <v>0</v>
      </c>
      <c r="BN80" t="b">
        <f t="shared" si="5"/>
        <v>0</v>
      </c>
      <c r="BP80">
        <v>108838</v>
      </c>
      <c r="BQ80">
        <v>108838</v>
      </c>
      <c r="BS80" t="b">
        <f t="shared" si="6"/>
        <v>1</v>
      </c>
      <c r="BT80" t="b">
        <f t="shared" si="7"/>
        <v>1</v>
      </c>
    </row>
    <row r="81" spans="1:72" x14ac:dyDescent="0.35">
      <c r="A81" t="s">
        <v>220</v>
      </c>
      <c r="B81" t="s">
        <v>221</v>
      </c>
      <c r="D81">
        <v>13918</v>
      </c>
      <c r="E81">
        <v>13918</v>
      </c>
      <c r="G81">
        <v>1951</v>
      </c>
      <c r="H81">
        <v>1951</v>
      </c>
      <c r="I81">
        <v>23612132</v>
      </c>
      <c r="J81">
        <v>23612132</v>
      </c>
      <c r="K81">
        <v>23612132</v>
      </c>
      <c r="L81">
        <v>22407473</v>
      </c>
      <c r="M81">
        <v>22407473</v>
      </c>
      <c r="N81">
        <v>22407473</v>
      </c>
      <c r="O81">
        <v>193878</v>
      </c>
      <c r="P81">
        <v>193878</v>
      </c>
      <c r="Q81">
        <v>193878</v>
      </c>
      <c r="R81">
        <v>261145</v>
      </c>
      <c r="S81">
        <v>261145</v>
      </c>
      <c r="T81">
        <v>261145</v>
      </c>
      <c r="U81">
        <v>75886</v>
      </c>
      <c r="V81">
        <v>75886</v>
      </c>
      <c r="W81">
        <v>75886</v>
      </c>
      <c r="AG81">
        <v>72527</v>
      </c>
      <c r="AI81">
        <v>72527</v>
      </c>
      <c r="AM81">
        <v>7518</v>
      </c>
      <c r="AN81">
        <v>7518</v>
      </c>
      <c r="AO81">
        <v>7518</v>
      </c>
      <c r="AP81">
        <v>3508552</v>
      </c>
      <c r="AQ81">
        <v>3508552</v>
      </c>
      <c r="AR81">
        <v>3508552</v>
      </c>
      <c r="AS81">
        <v>233319</v>
      </c>
      <c r="AT81">
        <v>233319</v>
      </c>
      <c r="AU81">
        <v>233319</v>
      </c>
      <c r="AY81">
        <v>59817</v>
      </c>
      <c r="AZ81">
        <v>59817</v>
      </c>
      <c r="BA81">
        <v>59817</v>
      </c>
      <c r="BH81">
        <v>14980</v>
      </c>
      <c r="BI81">
        <v>14980</v>
      </c>
      <c r="BJ81">
        <v>14980</v>
      </c>
      <c r="BK81">
        <v>1</v>
      </c>
      <c r="BM81" t="b">
        <f t="shared" si="4"/>
        <v>0</v>
      </c>
      <c r="BN81" t="b">
        <f t="shared" si="5"/>
        <v>1</v>
      </c>
      <c r="BO81">
        <v>28632</v>
      </c>
      <c r="BQ81">
        <v>28632</v>
      </c>
      <c r="BR81">
        <v>0</v>
      </c>
      <c r="BS81" t="b">
        <f t="shared" si="6"/>
        <v>1</v>
      </c>
      <c r="BT81" t="b">
        <f t="shared" si="7"/>
        <v>1</v>
      </c>
    </row>
    <row r="82" spans="1:72" x14ac:dyDescent="0.35">
      <c r="A82" t="s">
        <v>222</v>
      </c>
      <c r="B82" t="s">
        <v>223</v>
      </c>
      <c r="D82">
        <v>2998610</v>
      </c>
      <c r="E82">
        <v>2998610</v>
      </c>
      <c r="G82">
        <v>7454</v>
      </c>
      <c r="H82">
        <v>7454</v>
      </c>
      <c r="J82">
        <v>138590183</v>
      </c>
      <c r="K82">
        <v>138590183</v>
      </c>
      <c r="M82">
        <v>628126000</v>
      </c>
      <c r="N82">
        <v>628126000</v>
      </c>
      <c r="P82">
        <v>100000</v>
      </c>
      <c r="Q82">
        <v>100000</v>
      </c>
      <c r="S82">
        <v>195237</v>
      </c>
      <c r="T82">
        <v>195237</v>
      </c>
      <c r="V82">
        <v>50000</v>
      </c>
      <c r="W82">
        <v>50000</v>
      </c>
      <c r="AB82">
        <v>250000</v>
      </c>
      <c r="AC82">
        <v>250000</v>
      </c>
      <c r="AE82">
        <v>300000</v>
      </c>
      <c r="AF82">
        <v>300000</v>
      </c>
      <c r="AH82">
        <v>100000</v>
      </c>
      <c r="AI82">
        <v>100000</v>
      </c>
      <c r="AK82">
        <v>40000</v>
      </c>
      <c r="AL82">
        <v>40000</v>
      </c>
      <c r="AN82">
        <v>4000</v>
      </c>
      <c r="AO82">
        <v>4000</v>
      </c>
      <c r="AQ82">
        <v>200000</v>
      </c>
      <c r="AR82">
        <v>200000</v>
      </c>
      <c r="AT82">
        <v>50000</v>
      </c>
      <c r="AU82">
        <v>50000</v>
      </c>
      <c r="AZ82">
        <v>150000</v>
      </c>
      <c r="BA82">
        <v>150000</v>
      </c>
      <c r="BC82">
        <v>500000</v>
      </c>
      <c r="BD82">
        <v>500000</v>
      </c>
      <c r="BF82">
        <v>150000</v>
      </c>
      <c r="BG82">
        <v>150000</v>
      </c>
      <c r="BI82">
        <v>5128388</v>
      </c>
      <c r="BJ82">
        <v>5128388</v>
      </c>
      <c r="BM82" t="b">
        <f t="shared" si="4"/>
        <v>0</v>
      </c>
      <c r="BN82" t="b">
        <f t="shared" si="5"/>
        <v>0</v>
      </c>
      <c r="BP82">
        <v>60000</v>
      </c>
      <c r="BQ82">
        <v>60000</v>
      </c>
      <c r="BS82" t="b">
        <f t="shared" si="6"/>
        <v>1</v>
      </c>
      <c r="BT82" t="b">
        <f t="shared" si="7"/>
        <v>1</v>
      </c>
    </row>
    <row r="83" spans="1:72" x14ac:dyDescent="0.35">
      <c r="A83" t="s">
        <v>224</v>
      </c>
      <c r="B83" t="s">
        <v>225</v>
      </c>
      <c r="C83">
        <v>2297</v>
      </c>
      <c r="E83">
        <v>2297</v>
      </c>
      <c r="F83">
        <v>94</v>
      </c>
      <c r="G83">
        <v>94</v>
      </c>
      <c r="H83">
        <v>94</v>
      </c>
      <c r="I83">
        <v>24063109</v>
      </c>
      <c r="J83">
        <v>24063109</v>
      </c>
      <c r="K83">
        <v>24063109</v>
      </c>
      <c r="L83">
        <v>9064064</v>
      </c>
      <c r="M83">
        <v>9064064</v>
      </c>
      <c r="N83">
        <v>9064064</v>
      </c>
      <c r="O83">
        <v>3837</v>
      </c>
      <c r="P83">
        <v>3837</v>
      </c>
      <c r="Q83">
        <v>3837</v>
      </c>
      <c r="R83">
        <v>24702</v>
      </c>
      <c r="S83">
        <v>24702</v>
      </c>
      <c r="T83">
        <v>24702</v>
      </c>
      <c r="U83">
        <v>0</v>
      </c>
      <c r="W83">
        <v>0</v>
      </c>
      <c r="AA83">
        <v>1593</v>
      </c>
      <c r="AB83">
        <v>1593</v>
      </c>
      <c r="AC83">
        <v>1593</v>
      </c>
      <c r="AD83">
        <v>4383</v>
      </c>
      <c r="AE83">
        <v>4383</v>
      </c>
      <c r="AF83">
        <v>4383</v>
      </c>
      <c r="AM83">
        <v>1741</v>
      </c>
      <c r="AN83">
        <v>1741</v>
      </c>
      <c r="AO83">
        <v>1741</v>
      </c>
      <c r="AP83">
        <v>28127</v>
      </c>
      <c r="AQ83">
        <v>28127</v>
      </c>
      <c r="AR83">
        <v>28127</v>
      </c>
      <c r="AS83">
        <v>28127</v>
      </c>
      <c r="AT83">
        <v>28127</v>
      </c>
      <c r="AU83">
        <v>28127</v>
      </c>
      <c r="AY83">
        <v>733</v>
      </c>
      <c r="AZ83">
        <v>733</v>
      </c>
      <c r="BA83">
        <v>733</v>
      </c>
      <c r="BB83">
        <v>3900</v>
      </c>
      <c r="BC83">
        <v>3900</v>
      </c>
      <c r="BD83">
        <v>3900</v>
      </c>
      <c r="BE83">
        <v>115</v>
      </c>
      <c r="BF83">
        <v>115</v>
      </c>
      <c r="BG83">
        <v>115</v>
      </c>
      <c r="BH83">
        <v>0</v>
      </c>
      <c r="BJ83">
        <v>0</v>
      </c>
      <c r="BK83">
        <v>1</v>
      </c>
      <c r="BM83" t="b">
        <f t="shared" si="4"/>
        <v>0</v>
      </c>
      <c r="BN83" t="b">
        <f t="shared" si="5"/>
        <v>1</v>
      </c>
      <c r="BO83">
        <v>15656</v>
      </c>
      <c r="BP83">
        <v>15656</v>
      </c>
      <c r="BQ83">
        <v>15656</v>
      </c>
      <c r="BR83">
        <v>0</v>
      </c>
      <c r="BS83" t="b">
        <f t="shared" si="6"/>
        <v>1</v>
      </c>
      <c r="BT83" t="b">
        <f t="shared" si="7"/>
        <v>1</v>
      </c>
    </row>
    <row r="84" spans="1:72" x14ac:dyDescent="0.35">
      <c r="A84" t="s">
        <v>226</v>
      </c>
      <c r="B84" t="s">
        <v>227</v>
      </c>
      <c r="C84">
        <v>149125</v>
      </c>
      <c r="E84">
        <v>149125</v>
      </c>
      <c r="F84">
        <v>955</v>
      </c>
      <c r="G84">
        <v>955</v>
      </c>
      <c r="H84">
        <v>955</v>
      </c>
      <c r="I84">
        <v>145190604</v>
      </c>
      <c r="J84">
        <v>145190604</v>
      </c>
      <c r="K84">
        <v>145190604</v>
      </c>
      <c r="L84">
        <v>143881124</v>
      </c>
      <c r="M84">
        <v>143881124</v>
      </c>
      <c r="N84">
        <v>143881124</v>
      </c>
      <c r="O84">
        <v>54979</v>
      </c>
      <c r="P84">
        <v>54979</v>
      </c>
      <c r="Q84">
        <v>54979</v>
      </c>
      <c r="R84">
        <v>1391170</v>
      </c>
      <c r="S84">
        <v>1391170</v>
      </c>
      <c r="T84">
        <v>1391170</v>
      </c>
      <c r="AD84">
        <v>1313915</v>
      </c>
      <c r="AE84">
        <v>1313915</v>
      </c>
      <c r="AF84">
        <v>1313915</v>
      </c>
      <c r="AG84">
        <v>5369</v>
      </c>
      <c r="AI84">
        <v>5369</v>
      </c>
      <c r="AJ84">
        <v>426</v>
      </c>
      <c r="AK84">
        <v>426</v>
      </c>
      <c r="AL84">
        <v>426</v>
      </c>
      <c r="AP84">
        <v>67365</v>
      </c>
      <c r="AQ84">
        <v>67365</v>
      </c>
      <c r="AR84">
        <v>67365</v>
      </c>
      <c r="AS84">
        <v>12667</v>
      </c>
      <c r="AT84">
        <v>12667</v>
      </c>
      <c r="AU84">
        <v>12667</v>
      </c>
      <c r="BB84">
        <v>75420</v>
      </c>
      <c r="BC84">
        <v>75420</v>
      </c>
      <c r="BD84">
        <v>75420</v>
      </c>
      <c r="BE84">
        <v>81217</v>
      </c>
      <c r="BF84">
        <v>81217</v>
      </c>
      <c r="BG84">
        <v>81217</v>
      </c>
      <c r="BH84">
        <v>16210</v>
      </c>
      <c r="BI84">
        <v>16210</v>
      </c>
      <c r="BJ84">
        <v>16210</v>
      </c>
      <c r="BK84">
        <v>0</v>
      </c>
      <c r="BM84" t="b">
        <f t="shared" si="4"/>
        <v>0</v>
      </c>
      <c r="BN84" t="b">
        <f t="shared" si="5"/>
        <v>0</v>
      </c>
      <c r="BO84">
        <v>46762</v>
      </c>
      <c r="BP84">
        <v>46762</v>
      </c>
      <c r="BQ84">
        <v>46762</v>
      </c>
      <c r="BR84">
        <v>0</v>
      </c>
      <c r="BS84" t="b">
        <f t="shared" si="6"/>
        <v>1</v>
      </c>
      <c r="BT84" t="b">
        <f t="shared" si="7"/>
        <v>1</v>
      </c>
    </row>
    <row r="85" spans="1:72" x14ac:dyDescent="0.35">
      <c r="A85" t="s">
        <v>228</v>
      </c>
      <c r="B85" t="s">
        <v>229</v>
      </c>
      <c r="D85">
        <v>5000</v>
      </c>
      <c r="E85">
        <v>5000</v>
      </c>
      <c r="G85">
        <v>25</v>
      </c>
      <c r="H85">
        <v>25</v>
      </c>
      <c r="J85">
        <v>241765</v>
      </c>
      <c r="K85">
        <v>241765</v>
      </c>
      <c r="M85">
        <v>285349</v>
      </c>
      <c r="N85">
        <v>285349</v>
      </c>
      <c r="V85">
        <v>19</v>
      </c>
      <c r="W85">
        <v>19</v>
      </c>
      <c r="AE85">
        <v>2081</v>
      </c>
      <c r="AF85">
        <v>2081</v>
      </c>
      <c r="AH85">
        <v>104</v>
      </c>
      <c r="AI85">
        <v>104</v>
      </c>
      <c r="AN85">
        <v>3306</v>
      </c>
      <c r="AO85">
        <v>3306</v>
      </c>
      <c r="AW85">
        <v>556</v>
      </c>
      <c r="AX85">
        <v>556</v>
      </c>
      <c r="BC85">
        <v>19</v>
      </c>
      <c r="BD85">
        <v>19</v>
      </c>
      <c r="BF85">
        <v>37</v>
      </c>
      <c r="BG85">
        <v>37</v>
      </c>
      <c r="BM85" t="b">
        <f t="shared" si="4"/>
        <v>0</v>
      </c>
      <c r="BN85" t="b">
        <f t="shared" si="5"/>
        <v>0</v>
      </c>
      <c r="BP85">
        <v>1540</v>
      </c>
      <c r="BQ85">
        <v>1540</v>
      </c>
      <c r="BS85" t="b">
        <f t="shared" si="6"/>
        <v>1</v>
      </c>
      <c r="BT85" t="b">
        <f t="shared" si="7"/>
        <v>1</v>
      </c>
    </row>
    <row r="86" spans="1:72" x14ac:dyDescent="0.35">
      <c r="A86" t="s">
        <v>230</v>
      </c>
      <c r="B86" t="s">
        <v>231</v>
      </c>
      <c r="C86">
        <v>770</v>
      </c>
      <c r="D86">
        <v>770</v>
      </c>
      <c r="E86">
        <v>770</v>
      </c>
      <c r="F86">
        <v>52</v>
      </c>
      <c r="G86">
        <v>52</v>
      </c>
      <c r="H86">
        <v>52</v>
      </c>
      <c r="J86">
        <v>5713284</v>
      </c>
      <c r="K86">
        <v>5713284</v>
      </c>
      <c r="M86">
        <v>4503131</v>
      </c>
      <c r="N86">
        <v>4503131</v>
      </c>
      <c r="P86">
        <v>61058</v>
      </c>
      <c r="Q86">
        <v>61058</v>
      </c>
      <c r="AB86">
        <v>2000</v>
      </c>
      <c r="AC86">
        <v>2000</v>
      </c>
      <c r="AE86">
        <v>373</v>
      </c>
      <c r="AF86">
        <v>373</v>
      </c>
      <c r="AH86">
        <v>65000</v>
      </c>
      <c r="AI86">
        <v>65000</v>
      </c>
      <c r="AK86">
        <v>65000</v>
      </c>
      <c r="AL86">
        <v>65000</v>
      </c>
      <c r="AQ86">
        <v>43963</v>
      </c>
      <c r="AR86">
        <v>43963</v>
      </c>
      <c r="AZ86">
        <v>2000</v>
      </c>
      <c r="BA86">
        <v>2000</v>
      </c>
      <c r="BM86" t="b">
        <f t="shared" si="4"/>
        <v>0</v>
      </c>
      <c r="BN86" t="b">
        <f t="shared" si="5"/>
        <v>0</v>
      </c>
      <c r="BP86">
        <v>396</v>
      </c>
      <c r="BQ86">
        <v>396</v>
      </c>
      <c r="BS86" t="b">
        <f t="shared" si="6"/>
        <v>1</v>
      </c>
      <c r="BT86" t="b">
        <f t="shared" si="7"/>
        <v>1</v>
      </c>
    </row>
    <row r="87" spans="1:72" x14ac:dyDescent="0.35">
      <c r="A87" t="s">
        <v>232</v>
      </c>
      <c r="B87" t="s">
        <v>233</v>
      </c>
      <c r="C87">
        <v>677998</v>
      </c>
      <c r="D87">
        <v>677998</v>
      </c>
      <c r="E87">
        <v>677998</v>
      </c>
      <c r="F87">
        <v>67526</v>
      </c>
      <c r="G87">
        <v>67526</v>
      </c>
      <c r="H87">
        <v>67526</v>
      </c>
      <c r="I87">
        <v>8478466813</v>
      </c>
      <c r="J87">
        <v>8478466813</v>
      </c>
      <c r="K87">
        <v>8478466813</v>
      </c>
      <c r="L87">
        <v>7981962405</v>
      </c>
      <c r="M87">
        <v>7981962405</v>
      </c>
      <c r="N87">
        <v>7981962405</v>
      </c>
      <c r="O87">
        <v>788</v>
      </c>
      <c r="P87">
        <v>788</v>
      </c>
      <c r="Q87">
        <v>788</v>
      </c>
      <c r="R87">
        <v>8607616</v>
      </c>
      <c r="S87">
        <v>8607616</v>
      </c>
      <c r="T87">
        <v>8607616</v>
      </c>
      <c r="U87">
        <v>84292</v>
      </c>
      <c r="V87">
        <v>84292</v>
      </c>
      <c r="W87">
        <v>84292</v>
      </c>
      <c r="AP87">
        <v>25180000</v>
      </c>
      <c r="AQ87">
        <v>25180000</v>
      </c>
      <c r="AR87">
        <v>25180000</v>
      </c>
      <c r="BK87">
        <v>0</v>
      </c>
      <c r="BL87">
        <v>4987309</v>
      </c>
      <c r="BM87" t="b">
        <f t="shared" si="4"/>
        <v>1</v>
      </c>
      <c r="BN87" t="b">
        <f t="shared" si="5"/>
        <v>1</v>
      </c>
      <c r="BO87">
        <v>536024</v>
      </c>
      <c r="BP87">
        <v>536024</v>
      </c>
      <c r="BQ87">
        <v>536024</v>
      </c>
      <c r="BR87">
        <v>0</v>
      </c>
      <c r="BS87" t="b">
        <f t="shared" si="6"/>
        <v>1</v>
      </c>
      <c r="BT87" t="b">
        <f t="shared" si="7"/>
        <v>1</v>
      </c>
    </row>
    <row r="88" spans="1:72" x14ac:dyDescent="0.35">
      <c r="A88" t="s">
        <v>234</v>
      </c>
      <c r="B88" t="s">
        <v>235</v>
      </c>
      <c r="C88">
        <v>243654</v>
      </c>
      <c r="E88">
        <v>243654</v>
      </c>
      <c r="F88">
        <v>708</v>
      </c>
      <c r="G88">
        <v>708</v>
      </c>
      <c r="H88">
        <v>708</v>
      </c>
      <c r="I88">
        <v>58350319</v>
      </c>
      <c r="J88">
        <v>58350319</v>
      </c>
      <c r="K88">
        <v>58350319</v>
      </c>
      <c r="L88">
        <v>67751275</v>
      </c>
      <c r="M88">
        <v>67751275</v>
      </c>
      <c r="N88">
        <v>67751275</v>
      </c>
      <c r="O88">
        <v>6403788</v>
      </c>
      <c r="P88">
        <v>6403788</v>
      </c>
      <c r="Q88">
        <v>6403788</v>
      </c>
      <c r="R88">
        <v>3386376</v>
      </c>
      <c r="S88">
        <v>3386376</v>
      </c>
      <c r="T88">
        <v>3386376</v>
      </c>
      <c r="U88">
        <v>1413042</v>
      </c>
      <c r="V88">
        <v>1413042</v>
      </c>
      <c r="W88">
        <v>1413042</v>
      </c>
      <c r="AA88">
        <v>1350829</v>
      </c>
      <c r="AB88">
        <v>1350829</v>
      </c>
      <c r="AC88">
        <v>1350829</v>
      </c>
      <c r="AD88">
        <v>1539003</v>
      </c>
      <c r="AE88">
        <v>1539003</v>
      </c>
      <c r="AF88">
        <v>1539003</v>
      </c>
      <c r="AM88">
        <v>434776</v>
      </c>
      <c r="AN88">
        <v>434776</v>
      </c>
      <c r="AO88">
        <v>434776</v>
      </c>
      <c r="AP88">
        <v>3748875</v>
      </c>
      <c r="AQ88">
        <v>3748875</v>
      </c>
      <c r="AR88">
        <v>3748875</v>
      </c>
      <c r="AS88">
        <v>160525</v>
      </c>
      <c r="AT88">
        <v>160525</v>
      </c>
      <c r="AU88">
        <v>160525</v>
      </c>
      <c r="AV88">
        <v>1909349</v>
      </c>
      <c r="AW88">
        <v>1909349</v>
      </c>
      <c r="AX88">
        <v>1909349</v>
      </c>
      <c r="AY88">
        <v>1716122</v>
      </c>
      <c r="BA88">
        <v>1716122</v>
      </c>
      <c r="BB88">
        <v>251671</v>
      </c>
      <c r="BC88">
        <v>251671</v>
      </c>
      <c r="BD88">
        <v>251671</v>
      </c>
      <c r="BE88">
        <v>397866</v>
      </c>
      <c r="BF88">
        <v>397866</v>
      </c>
      <c r="BG88">
        <v>397866</v>
      </c>
      <c r="BK88">
        <v>0</v>
      </c>
      <c r="BL88">
        <v>45086</v>
      </c>
      <c r="BM88" t="b">
        <f t="shared" si="4"/>
        <v>1</v>
      </c>
      <c r="BN88" t="b">
        <f t="shared" si="5"/>
        <v>1</v>
      </c>
      <c r="BO88">
        <v>17894</v>
      </c>
      <c r="BP88">
        <v>17894</v>
      </c>
      <c r="BQ88">
        <v>17894</v>
      </c>
      <c r="BR88">
        <v>0</v>
      </c>
      <c r="BS88" t="b">
        <f t="shared" si="6"/>
        <v>1</v>
      </c>
      <c r="BT88" t="b">
        <f t="shared" si="7"/>
        <v>1</v>
      </c>
    </row>
    <row r="89" spans="1:72" x14ac:dyDescent="0.35">
      <c r="A89" t="s">
        <v>236</v>
      </c>
      <c r="B89" t="s">
        <v>237</v>
      </c>
      <c r="D89">
        <v>5025</v>
      </c>
      <c r="E89">
        <v>5025</v>
      </c>
      <c r="G89">
        <v>162</v>
      </c>
      <c r="H89">
        <v>162</v>
      </c>
      <c r="J89">
        <v>4398956</v>
      </c>
      <c r="K89">
        <v>4398956</v>
      </c>
      <c r="M89">
        <v>3794659</v>
      </c>
      <c r="N89">
        <v>3794659</v>
      </c>
      <c r="V89">
        <v>64584</v>
      </c>
      <c r="W89">
        <v>64584</v>
      </c>
      <c r="AE89">
        <v>27500</v>
      </c>
      <c r="AF89">
        <v>27500</v>
      </c>
      <c r="AH89">
        <v>348900</v>
      </c>
      <c r="AI89">
        <v>348900</v>
      </c>
      <c r="AQ89">
        <v>39792</v>
      </c>
      <c r="AR89">
        <v>39792</v>
      </c>
      <c r="AW89">
        <v>768396</v>
      </c>
      <c r="AX89">
        <v>768396</v>
      </c>
      <c r="AZ89">
        <v>69250</v>
      </c>
      <c r="BA89">
        <v>69250</v>
      </c>
      <c r="BI89">
        <v>1189776</v>
      </c>
      <c r="BJ89">
        <v>1189776</v>
      </c>
      <c r="BM89" t="b">
        <f t="shared" si="4"/>
        <v>0</v>
      </c>
      <c r="BN89" t="b">
        <f t="shared" si="5"/>
        <v>0</v>
      </c>
      <c r="BP89">
        <v>25415</v>
      </c>
      <c r="BQ89">
        <v>25415</v>
      </c>
      <c r="BS89" t="b">
        <f t="shared" si="6"/>
        <v>1</v>
      </c>
      <c r="BT89" t="b">
        <f t="shared" si="7"/>
        <v>1</v>
      </c>
    </row>
    <row r="90" spans="1:72" x14ac:dyDescent="0.35">
      <c r="A90" t="s">
        <v>238</v>
      </c>
      <c r="B90" t="s">
        <v>239</v>
      </c>
      <c r="C90">
        <v>61170</v>
      </c>
      <c r="E90">
        <v>61170</v>
      </c>
      <c r="F90">
        <v>354</v>
      </c>
      <c r="G90">
        <v>354</v>
      </c>
      <c r="H90">
        <v>354</v>
      </c>
      <c r="I90">
        <v>26763530</v>
      </c>
      <c r="J90">
        <v>26763530</v>
      </c>
      <c r="K90">
        <v>26763530</v>
      </c>
      <c r="L90">
        <v>19143887</v>
      </c>
      <c r="M90">
        <v>19143887</v>
      </c>
      <c r="N90">
        <v>19143887</v>
      </c>
      <c r="O90">
        <v>230221</v>
      </c>
      <c r="P90">
        <v>230221</v>
      </c>
      <c r="Q90">
        <v>230221</v>
      </c>
      <c r="R90">
        <v>378945</v>
      </c>
      <c r="S90">
        <v>378945</v>
      </c>
      <c r="T90">
        <v>378945</v>
      </c>
      <c r="U90">
        <v>180490</v>
      </c>
      <c r="V90">
        <v>180490</v>
      </c>
      <c r="W90">
        <v>180490</v>
      </c>
      <c r="AA90">
        <v>396</v>
      </c>
      <c r="AB90">
        <v>396</v>
      </c>
      <c r="AC90">
        <v>396</v>
      </c>
      <c r="AD90">
        <v>16500</v>
      </c>
      <c r="AE90">
        <v>16500</v>
      </c>
      <c r="AF90">
        <v>16500</v>
      </c>
      <c r="AG90">
        <v>72720</v>
      </c>
      <c r="AI90">
        <v>72720</v>
      </c>
      <c r="AM90">
        <v>2116</v>
      </c>
      <c r="AN90">
        <v>2116</v>
      </c>
      <c r="AO90">
        <v>2116</v>
      </c>
      <c r="AP90">
        <v>87031</v>
      </c>
      <c r="AQ90">
        <v>87031</v>
      </c>
      <c r="AR90">
        <v>87031</v>
      </c>
      <c r="AY90">
        <v>261</v>
      </c>
      <c r="AZ90">
        <v>261</v>
      </c>
      <c r="BA90">
        <v>261</v>
      </c>
      <c r="BB90">
        <v>11911</v>
      </c>
      <c r="BC90">
        <v>11911</v>
      </c>
      <c r="BD90">
        <v>11911</v>
      </c>
      <c r="BE90">
        <v>8135</v>
      </c>
      <c r="BF90">
        <v>8135</v>
      </c>
      <c r="BG90">
        <v>8135</v>
      </c>
      <c r="BH90">
        <v>28775</v>
      </c>
      <c r="BI90">
        <v>28775</v>
      </c>
      <c r="BJ90">
        <v>28775</v>
      </c>
      <c r="BK90">
        <v>0</v>
      </c>
      <c r="BL90">
        <v>1130</v>
      </c>
      <c r="BM90" t="b">
        <f t="shared" si="4"/>
        <v>1</v>
      </c>
      <c r="BN90" t="b">
        <f t="shared" si="5"/>
        <v>1</v>
      </c>
      <c r="BO90">
        <v>16158</v>
      </c>
      <c r="BP90">
        <v>16158</v>
      </c>
      <c r="BQ90">
        <v>16158</v>
      </c>
      <c r="BR90">
        <v>0</v>
      </c>
      <c r="BS90" t="b">
        <f t="shared" si="6"/>
        <v>1</v>
      </c>
      <c r="BT90" t="b">
        <f t="shared" si="7"/>
        <v>1</v>
      </c>
    </row>
    <row r="91" spans="1:72" x14ac:dyDescent="0.35">
      <c r="A91" t="s">
        <v>240</v>
      </c>
      <c r="B91" t="s">
        <v>241</v>
      </c>
      <c r="D91">
        <v>89</v>
      </c>
      <c r="E91">
        <v>89</v>
      </c>
      <c r="G91">
        <v>15</v>
      </c>
      <c r="H91">
        <v>15</v>
      </c>
      <c r="J91">
        <v>247851</v>
      </c>
      <c r="K91">
        <v>247851</v>
      </c>
      <c r="M91">
        <v>158833</v>
      </c>
      <c r="N91">
        <v>158833</v>
      </c>
      <c r="V91">
        <v>71</v>
      </c>
      <c r="W91">
        <v>71</v>
      </c>
      <c r="AB91">
        <v>35</v>
      </c>
      <c r="AC91">
        <v>35</v>
      </c>
      <c r="AH91">
        <v>660</v>
      </c>
      <c r="AI91">
        <v>660</v>
      </c>
      <c r="AQ91">
        <v>18573</v>
      </c>
      <c r="AR91">
        <v>18573</v>
      </c>
      <c r="AZ91">
        <v>4232</v>
      </c>
      <c r="BA91">
        <v>4232</v>
      </c>
      <c r="BI91">
        <v>18473</v>
      </c>
      <c r="BJ91">
        <v>18473</v>
      </c>
      <c r="BM91" t="b">
        <f t="shared" si="4"/>
        <v>0</v>
      </c>
      <c r="BN91" t="b">
        <f t="shared" si="5"/>
        <v>0</v>
      </c>
      <c r="BP91">
        <v>1432</v>
      </c>
      <c r="BQ91">
        <v>1432</v>
      </c>
      <c r="BS91" t="b">
        <f t="shared" si="6"/>
        <v>1</v>
      </c>
      <c r="BT91" t="b">
        <f t="shared" si="7"/>
        <v>1</v>
      </c>
    </row>
    <row r="92" spans="1:72" x14ac:dyDescent="0.35">
      <c r="A92" t="s">
        <v>242</v>
      </c>
      <c r="B92" t="s">
        <v>243</v>
      </c>
      <c r="C92">
        <v>3656</v>
      </c>
      <c r="D92">
        <v>3656</v>
      </c>
      <c r="E92">
        <v>3656</v>
      </c>
      <c r="F92">
        <v>40</v>
      </c>
      <c r="H92">
        <v>40</v>
      </c>
      <c r="I92">
        <v>607011</v>
      </c>
      <c r="J92">
        <v>607011</v>
      </c>
      <c r="K92">
        <v>607011</v>
      </c>
      <c r="L92">
        <v>599399</v>
      </c>
      <c r="M92">
        <v>599399</v>
      </c>
      <c r="N92">
        <v>599399</v>
      </c>
      <c r="O92">
        <v>181</v>
      </c>
      <c r="P92">
        <v>181</v>
      </c>
      <c r="Q92">
        <v>181</v>
      </c>
      <c r="R92">
        <v>1369</v>
      </c>
      <c r="T92">
        <v>1369</v>
      </c>
      <c r="U92">
        <v>200</v>
      </c>
      <c r="V92">
        <v>200</v>
      </c>
      <c r="W92">
        <v>200</v>
      </c>
      <c r="AA92">
        <v>0</v>
      </c>
      <c r="AC92">
        <v>0</v>
      </c>
      <c r="AD92">
        <v>20</v>
      </c>
      <c r="AE92">
        <v>20</v>
      </c>
      <c r="AF92">
        <v>20</v>
      </c>
      <c r="AM92">
        <v>30</v>
      </c>
      <c r="AO92">
        <v>30</v>
      </c>
      <c r="AP92">
        <v>162403</v>
      </c>
      <c r="AQ92">
        <v>162403</v>
      </c>
      <c r="AR92">
        <v>162403</v>
      </c>
      <c r="AS92">
        <v>666</v>
      </c>
      <c r="AU92">
        <v>666</v>
      </c>
      <c r="AV92">
        <v>115442</v>
      </c>
      <c r="AW92">
        <v>115442</v>
      </c>
      <c r="AX92">
        <v>115442</v>
      </c>
      <c r="AY92">
        <v>255109</v>
      </c>
      <c r="AZ92">
        <v>255109</v>
      </c>
      <c r="BA92">
        <v>255109</v>
      </c>
      <c r="BB92">
        <v>0</v>
      </c>
      <c r="BD92">
        <v>0</v>
      </c>
      <c r="BE92">
        <v>275</v>
      </c>
      <c r="BF92">
        <v>275</v>
      </c>
      <c r="BG92">
        <v>275</v>
      </c>
      <c r="BH92">
        <v>0</v>
      </c>
      <c r="BJ92">
        <v>0</v>
      </c>
      <c r="BK92">
        <v>0</v>
      </c>
      <c r="BL92">
        <v>37</v>
      </c>
      <c r="BM92" t="b">
        <f t="shared" si="4"/>
        <v>1</v>
      </c>
      <c r="BN92" t="b">
        <f t="shared" si="5"/>
        <v>1</v>
      </c>
      <c r="BO92">
        <v>505</v>
      </c>
      <c r="BQ92">
        <v>505</v>
      </c>
      <c r="BR92">
        <v>0</v>
      </c>
      <c r="BS92" t="b">
        <f t="shared" si="6"/>
        <v>1</v>
      </c>
      <c r="BT92" t="b">
        <f t="shared" si="7"/>
        <v>1</v>
      </c>
    </row>
    <row r="93" spans="1:72" x14ac:dyDescent="0.35">
      <c r="A93" t="s">
        <v>244</v>
      </c>
      <c r="B93" t="s">
        <v>245</v>
      </c>
      <c r="D93">
        <v>153</v>
      </c>
      <c r="E93">
        <v>153</v>
      </c>
      <c r="G93">
        <v>1</v>
      </c>
      <c r="H93">
        <v>1</v>
      </c>
      <c r="J93">
        <v>40468</v>
      </c>
      <c r="K93">
        <v>40468</v>
      </c>
      <c r="M93">
        <v>37906</v>
      </c>
      <c r="N93">
        <v>37906</v>
      </c>
      <c r="P93">
        <v>7</v>
      </c>
      <c r="Q93">
        <v>7</v>
      </c>
      <c r="V93">
        <v>55</v>
      </c>
      <c r="W93">
        <v>55</v>
      </c>
      <c r="AE93">
        <v>298</v>
      </c>
      <c r="AF93">
        <v>298</v>
      </c>
      <c r="AH93">
        <v>87</v>
      </c>
      <c r="AI93">
        <v>87</v>
      </c>
      <c r="AK93">
        <v>313</v>
      </c>
      <c r="AL93">
        <v>313</v>
      </c>
      <c r="AN93">
        <v>390</v>
      </c>
      <c r="AO93">
        <v>390</v>
      </c>
      <c r="AQ93">
        <v>411</v>
      </c>
      <c r="AR93">
        <v>411</v>
      </c>
      <c r="AT93">
        <v>30</v>
      </c>
      <c r="AU93">
        <v>30</v>
      </c>
      <c r="AZ93">
        <v>65</v>
      </c>
      <c r="BA93">
        <v>65</v>
      </c>
      <c r="BC93">
        <v>40</v>
      </c>
      <c r="BD93">
        <v>40</v>
      </c>
      <c r="BF93">
        <v>325</v>
      </c>
      <c r="BG93">
        <v>325</v>
      </c>
      <c r="BI93">
        <v>1200</v>
      </c>
      <c r="BJ93">
        <v>1200</v>
      </c>
      <c r="BM93" t="b">
        <f t="shared" si="4"/>
        <v>0</v>
      </c>
      <c r="BN93" t="b">
        <f t="shared" si="5"/>
        <v>0</v>
      </c>
      <c r="BP93">
        <v>248</v>
      </c>
      <c r="BQ93">
        <v>248</v>
      </c>
      <c r="BS93" t="b">
        <f t="shared" si="6"/>
        <v>1</v>
      </c>
      <c r="BT93" t="b">
        <f t="shared" si="7"/>
        <v>1</v>
      </c>
    </row>
    <row r="94" spans="1:72" x14ac:dyDescent="0.35">
      <c r="A94" t="s">
        <v>246</v>
      </c>
      <c r="B94" t="s">
        <v>247</v>
      </c>
      <c r="C94">
        <v>361242</v>
      </c>
      <c r="D94">
        <v>361242</v>
      </c>
      <c r="E94">
        <v>361242</v>
      </c>
      <c r="F94">
        <v>216</v>
      </c>
      <c r="G94">
        <v>216</v>
      </c>
      <c r="H94">
        <v>216</v>
      </c>
      <c r="I94">
        <v>1230563</v>
      </c>
      <c r="J94">
        <v>1230563</v>
      </c>
      <c r="K94">
        <v>1230563</v>
      </c>
      <c r="L94">
        <v>1226542</v>
      </c>
      <c r="M94">
        <v>1226542</v>
      </c>
      <c r="N94">
        <v>1226542</v>
      </c>
      <c r="R94">
        <v>62957</v>
      </c>
      <c r="S94">
        <v>62957</v>
      </c>
      <c r="T94">
        <v>62957</v>
      </c>
      <c r="U94">
        <v>28896</v>
      </c>
      <c r="V94">
        <v>28896</v>
      </c>
      <c r="W94">
        <v>28896</v>
      </c>
      <c r="AG94">
        <v>62957</v>
      </c>
      <c r="AI94">
        <v>62957</v>
      </c>
      <c r="AP94">
        <v>1350000</v>
      </c>
      <c r="AQ94">
        <v>1350000</v>
      </c>
      <c r="AR94">
        <v>1350000</v>
      </c>
      <c r="AY94">
        <v>62957</v>
      </c>
      <c r="AZ94">
        <v>62957</v>
      </c>
      <c r="BA94">
        <v>62957</v>
      </c>
      <c r="BK94">
        <v>1</v>
      </c>
      <c r="BM94" t="b">
        <f t="shared" si="4"/>
        <v>0</v>
      </c>
      <c r="BN94" t="b">
        <f t="shared" si="5"/>
        <v>1</v>
      </c>
      <c r="BO94">
        <v>61146</v>
      </c>
      <c r="BP94">
        <v>61146</v>
      </c>
      <c r="BQ94">
        <v>61146</v>
      </c>
      <c r="BR94">
        <v>0</v>
      </c>
      <c r="BS94" t="b">
        <f t="shared" si="6"/>
        <v>1</v>
      </c>
      <c r="BT94" t="b">
        <f t="shared" si="7"/>
        <v>1</v>
      </c>
    </row>
    <row r="95" spans="1:72" x14ac:dyDescent="0.35">
      <c r="A95" t="s">
        <v>248</v>
      </c>
      <c r="B95" t="s">
        <v>249</v>
      </c>
      <c r="D95">
        <v>92384</v>
      </c>
      <c r="E95">
        <v>92384</v>
      </c>
      <c r="G95">
        <v>4969</v>
      </c>
      <c r="H95">
        <v>4969</v>
      </c>
      <c r="J95">
        <v>468748778</v>
      </c>
      <c r="K95">
        <v>468748778</v>
      </c>
      <c r="M95">
        <v>469703556</v>
      </c>
      <c r="N95">
        <v>469703556</v>
      </c>
      <c r="P95">
        <v>5534452</v>
      </c>
      <c r="Q95">
        <v>5534452</v>
      </c>
      <c r="S95">
        <v>62451</v>
      </c>
      <c r="T95">
        <v>62451</v>
      </c>
      <c r="V95">
        <v>337783</v>
      </c>
      <c r="W95">
        <v>337783</v>
      </c>
      <c r="AB95">
        <v>1552</v>
      </c>
      <c r="AC95">
        <v>1552</v>
      </c>
      <c r="AH95">
        <v>52748</v>
      </c>
      <c r="AI95">
        <v>52748</v>
      </c>
      <c r="AK95">
        <v>17640</v>
      </c>
      <c r="AL95">
        <v>17640</v>
      </c>
      <c r="AN95">
        <v>4</v>
      </c>
      <c r="AO95">
        <v>4</v>
      </c>
      <c r="AQ95">
        <v>1030027</v>
      </c>
      <c r="AR95">
        <v>1030027</v>
      </c>
      <c r="AT95">
        <v>7576</v>
      </c>
      <c r="AU95">
        <v>7576</v>
      </c>
      <c r="AW95">
        <v>235709</v>
      </c>
      <c r="AX95">
        <v>235709</v>
      </c>
      <c r="AZ95">
        <v>3823</v>
      </c>
      <c r="BA95">
        <v>3823</v>
      </c>
      <c r="BC95">
        <v>147</v>
      </c>
      <c r="BD95">
        <v>147</v>
      </c>
      <c r="BI95">
        <v>31115</v>
      </c>
      <c r="BJ95">
        <v>31115</v>
      </c>
      <c r="BM95" t="b">
        <f t="shared" si="4"/>
        <v>0</v>
      </c>
      <c r="BN95" t="b">
        <f t="shared" si="5"/>
        <v>0</v>
      </c>
      <c r="BP95">
        <v>263556</v>
      </c>
      <c r="BQ95">
        <v>263556</v>
      </c>
      <c r="BS95" t="b">
        <f t="shared" si="6"/>
        <v>1</v>
      </c>
      <c r="BT95" t="b">
        <f t="shared" si="7"/>
        <v>1</v>
      </c>
    </row>
    <row r="96" spans="1:72" x14ac:dyDescent="0.35">
      <c r="A96" t="s">
        <v>250</v>
      </c>
      <c r="B96" t="s">
        <v>251</v>
      </c>
      <c r="D96">
        <v>2025</v>
      </c>
      <c r="E96">
        <v>2025</v>
      </c>
      <c r="G96">
        <v>95</v>
      </c>
      <c r="H96">
        <v>95</v>
      </c>
      <c r="J96">
        <v>370558</v>
      </c>
      <c r="K96">
        <v>370558</v>
      </c>
      <c r="M96">
        <v>106444</v>
      </c>
      <c r="N96">
        <v>106444</v>
      </c>
      <c r="BI96">
        <v>3197</v>
      </c>
      <c r="BJ96">
        <v>3197</v>
      </c>
      <c r="BM96" t="b">
        <f t="shared" si="4"/>
        <v>0</v>
      </c>
      <c r="BN96" t="b">
        <f t="shared" si="5"/>
        <v>0</v>
      </c>
      <c r="BS96" t="b">
        <f t="shared" si="6"/>
        <v>0</v>
      </c>
      <c r="BT96" t="b">
        <f t="shared" si="7"/>
        <v>0</v>
      </c>
    </row>
    <row r="97" spans="1:72" x14ac:dyDescent="0.35">
      <c r="A97" t="s">
        <v>252</v>
      </c>
      <c r="B97" t="s">
        <v>253</v>
      </c>
      <c r="C97">
        <v>6794</v>
      </c>
      <c r="D97">
        <v>6794</v>
      </c>
      <c r="E97">
        <v>6794</v>
      </c>
      <c r="F97">
        <v>98</v>
      </c>
      <c r="G97">
        <v>98</v>
      </c>
      <c r="H97">
        <v>98</v>
      </c>
      <c r="J97">
        <v>5152072</v>
      </c>
      <c r="K97">
        <v>5152072</v>
      </c>
      <c r="M97">
        <v>5090000</v>
      </c>
      <c r="N97">
        <v>5090000</v>
      </c>
      <c r="P97">
        <v>50600</v>
      </c>
      <c r="Q97">
        <v>50600</v>
      </c>
      <c r="S97">
        <v>981099</v>
      </c>
      <c r="T97">
        <v>981099</v>
      </c>
      <c r="V97">
        <v>21000</v>
      </c>
      <c r="W97">
        <v>21000</v>
      </c>
      <c r="AE97">
        <v>1780</v>
      </c>
      <c r="AF97">
        <v>1780</v>
      </c>
      <c r="AH97">
        <v>13500</v>
      </c>
      <c r="AI97">
        <v>13500</v>
      </c>
      <c r="AK97">
        <v>5300</v>
      </c>
      <c r="AL97">
        <v>5300</v>
      </c>
      <c r="AQ97">
        <v>28000</v>
      </c>
      <c r="AR97">
        <v>28000</v>
      </c>
      <c r="AT97">
        <v>61000</v>
      </c>
      <c r="AU97">
        <v>61000</v>
      </c>
      <c r="AZ97">
        <v>19800</v>
      </c>
      <c r="BA97">
        <v>19800</v>
      </c>
      <c r="BC97">
        <v>36000</v>
      </c>
      <c r="BD97">
        <v>36000</v>
      </c>
      <c r="BI97">
        <v>58600</v>
      </c>
      <c r="BJ97">
        <v>58600</v>
      </c>
      <c r="BM97" t="b">
        <f t="shared" si="4"/>
        <v>0</v>
      </c>
      <c r="BN97" t="b">
        <f t="shared" si="5"/>
        <v>0</v>
      </c>
      <c r="BP97">
        <v>9873</v>
      </c>
      <c r="BQ97">
        <v>9873</v>
      </c>
      <c r="BS97" t="b">
        <f t="shared" si="6"/>
        <v>1</v>
      </c>
      <c r="BT97" t="b">
        <f t="shared" si="7"/>
        <v>1</v>
      </c>
    </row>
    <row r="98" spans="1:72" x14ac:dyDescent="0.35">
      <c r="A98" t="s">
        <v>254</v>
      </c>
      <c r="B98" t="s">
        <v>255</v>
      </c>
      <c r="D98">
        <v>1055</v>
      </c>
      <c r="E98">
        <v>1055</v>
      </c>
      <c r="G98">
        <v>508</v>
      </c>
      <c r="H98">
        <v>508</v>
      </c>
      <c r="J98">
        <v>1517935</v>
      </c>
      <c r="K98">
        <v>1517935</v>
      </c>
      <c r="M98">
        <v>1366405</v>
      </c>
      <c r="N98">
        <v>1366405</v>
      </c>
      <c r="P98">
        <v>48906</v>
      </c>
      <c r="Q98">
        <v>48906</v>
      </c>
      <c r="S98">
        <v>335399</v>
      </c>
      <c r="T98">
        <v>335399</v>
      </c>
      <c r="V98">
        <v>40</v>
      </c>
      <c r="W98">
        <v>40</v>
      </c>
      <c r="AE98">
        <v>3783</v>
      </c>
      <c r="AF98">
        <v>3783</v>
      </c>
      <c r="AN98">
        <v>9282</v>
      </c>
      <c r="AO98">
        <v>9282</v>
      </c>
      <c r="AQ98">
        <v>76861</v>
      </c>
      <c r="AR98">
        <v>76861</v>
      </c>
      <c r="AT98">
        <v>2496</v>
      </c>
      <c r="AU98">
        <v>2496</v>
      </c>
      <c r="AW98">
        <v>94534</v>
      </c>
      <c r="AX98">
        <v>94534</v>
      </c>
      <c r="AZ98">
        <v>24744</v>
      </c>
      <c r="BA98">
        <v>24744</v>
      </c>
      <c r="BC98">
        <v>4083</v>
      </c>
      <c r="BD98">
        <v>4083</v>
      </c>
      <c r="BF98">
        <v>28694</v>
      </c>
      <c r="BG98">
        <v>28694</v>
      </c>
      <c r="BI98">
        <v>771</v>
      </c>
      <c r="BJ98">
        <v>771</v>
      </c>
      <c r="BM98" t="b">
        <f t="shared" si="4"/>
        <v>0</v>
      </c>
      <c r="BN98" t="b">
        <f t="shared" si="5"/>
        <v>0</v>
      </c>
      <c r="BP98">
        <v>1488</v>
      </c>
      <c r="BQ98">
        <v>1488</v>
      </c>
      <c r="BS98" t="b">
        <f t="shared" si="6"/>
        <v>1</v>
      </c>
      <c r="BT98" t="b">
        <f t="shared" si="7"/>
        <v>1</v>
      </c>
    </row>
    <row r="99" spans="1:72" x14ac:dyDescent="0.35">
      <c r="A99" t="s">
        <v>256</v>
      </c>
      <c r="B99" t="s">
        <v>257</v>
      </c>
      <c r="C99">
        <v>12000</v>
      </c>
      <c r="D99">
        <v>12000</v>
      </c>
      <c r="E99">
        <v>12000</v>
      </c>
      <c r="F99">
        <v>414</v>
      </c>
      <c r="G99">
        <v>414</v>
      </c>
      <c r="H99">
        <v>414</v>
      </c>
      <c r="J99">
        <v>48693648</v>
      </c>
      <c r="K99">
        <v>48693648</v>
      </c>
      <c r="M99">
        <v>37633578</v>
      </c>
      <c r="N99">
        <v>37633578</v>
      </c>
      <c r="O99">
        <v>396790</v>
      </c>
      <c r="P99">
        <v>396790</v>
      </c>
      <c r="Q99">
        <v>396790</v>
      </c>
      <c r="R99">
        <v>702621</v>
      </c>
      <c r="S99">
        <v>702621</v>
      </c>
      <c r="T99">
        <v>702621</v>
      </c>
      <c r="U99">
        <v>137800</v>
      </c>
      <c r="V99">
        <v>137800</v>
      </c>
      <c r="W99">
        <v>137800</v>
      </c>
      <c r="AA99">
        <v>456</v>
      </c>
      <c r="AB99">
        <v>456</v>
      </c>
      <c r="AC99">
        <v>456</v>
      </c>
      <c r="AD99">
        <v>50</v>
      </c>
      <c r="AE99">
        <v>50</v>
      </c>
      <c r="AF99">
        <v>50</v>
      </c>
      <c r="AG99">
        <v>129253</v>
      </c>
      <c r="AI99">
        <v>129253</v>
      </c>
      <c r="AJ99">
        <v>129253</v>
      </c>
      <c r="AK99">
        <v>129253</v>
      </c>
      <c r="AL99">
        <v>129253</v>
      </c>
      <c r="AM99">
        <v>1150</v>
      </c>
      <c r="AN99">
        <v>1150</v>
      </c>
      <c r="AO99">
        <v>1150</v>
      </c>
      <c r="AP99">
        <v>826059</v>
      </c>
      <c r="AQ99">
        <v>826059</v>
      </c>
      <c r="AR99">
        <v>826059</v>
      </c>
      <c r="AS99">
        <v>33287</v>
      </c>
      <c r="AT99">
        <v>33287</v>
      </c>
      <c r="AU99">
        <v>33287</v>
      </c>
      <c r="AV99">
        <v>110322</v>
      </c>
      <c r="AW99">
        <v>110322</v>
      </c>
      <c r="AX99">
        <v>110322</v>
      </c>
      <c r="AY99">
        <v>32230</v>
      </c>
      <c r="AZ99">
        <v>32230</v>
      </c>
      <c r="BA99">
        <v>32230</v>
      </c>
      <c r="BK99">
        <v>0</v>
      </c>
      <c r="BL99">
        <v>46596</v>
      </c>
      <c r="BM99" t="b">
        <f t="shared" si="4"/>
        <v>1</v>
      </c>
      <c r="BN99" t="b">
        <f t="shared" si="5"/>
        <v>1</v>
      </c>
      <c r="BO99">
        <v>2842</v>
      </c>
      <c r="BP99">
        <v>915</v>
      </c>
      <c r="BQ99">
        <v>2842</v>
      </c>
      <c r="BR99">
        <v>0</v>
      </c>
      <c r="BS99" t="b">
        <f t="shared" si="6"/>
        <v>1</v>
      </c>
      <c r="BT99" t="b">
        <f t="shared" si="7"/>
        <v>1</v>
      </c>
    </row>
    <row r="100" spans="1:72" x14ac:dyDescent="0.35">
      <c r="A100" t="s">
        <v>258</v>
      </c>
      <c r="B100" t="s">
        <v>259</v>
      </c>
      <c r="D100">
        <v>280</v>
      </c>
      <c r="E100">
        <v>280</v>
      </c>
      <c r="G100">
        <v>6</v>
      </c>
      <c r="H100">
        <v>6</v>
      </c>
      <c r="P100">
        <v>606</v>
      </c>
      <c r="Q100">
        <v>606</v>
      </c>
      <c r="S100">
        <v>3000</v>
      </c>
      <c r="T100">
        <v>3000</v>
      </c>
      <c r="V100">
        <v>28350</v>
      </c>
      <c r="W100">
        <v>28350</v>
      </c>
      <c r="AB100">
        <v>81</v>
      </c>
      <c r="AC100">
        <v>81</v>
      </c>
      <c r="AE100">
        <v>450</v>
      </c>
      <c r="AF100">
        <v>450</v>
      </c>
      <c r="AN100">
        <v>811</v>
      </c>
      <c r="AO100">
        <v>811</v>
      </c>
      <c r="AQ100">
        <v>90819</v>
      </c>
      <c r="AR100">
        <v>90819</v>
      </c>
      <c r="AT100">
        <v>55302</v>
      </c>
      <c r="AU100">
        <v>55302</v>
      </c>
      <c r="BC100">
        <v>1</v>
      </c>
      <c r="BD100">
        <v>1</v>
      </c>
      <c r="BM100" t="b">
        <f t="shared" si="4"/>
        <v>0</v>
      </c>
      <c r="BN100" t="b">
        <f t="shared" si="5"/>
        <v>0</v>
      </c>
      <c r="BP100">
        <v>388</v>
      </c>
      <c r="BQ100">
        <v>388</v>
      </c>
      <c r="BS100" t="b">
        <f t="shared" si="6"/>
        <v>1</v>
      </c>
      <c r="BT100" t="b">
        <f t="shared" si="7"/>
        <v>1</v>
      </c>
    </row>
    <row r="101" spans="1:72" x14ac:dyDescent="0.35">
      <c r="A101" t="s">
        <v>260</v>
      </c>
      <c r="B101" t="s">
        <v>261</v>
      </c>
      <c r="C101">
        <v>31</v>
      </c>
      <c r="E101">
        <v>31</v>
      </c>
      <c r="F101">
        <v>26</v>
      </c>
      <c r="G101">
        <v>26</v>
      </c>
      <c r="H101">
        <v>26</v>
      </c>
      <c r="I101">
        <v>5742244</v>
      </c>
      <c r="J101">
        <v>5742244</v>
      </c>
      <c r="K101">
        <v>5742244</v>
      </c>
      <c r="L101">
        <v>3708712</v>
      </c>
      <c r="M101">
        <v>3708712</v>
      </c>
      <c r="N101">
        <v>3708712</v>
      </c>
      <c r="R101">
        <v>584</v>
      </c>
      <c r="S101">
        <v>584</v>
      </c>
      <c r="T101">
        <v>584</v>
      </c>
      <c r="AP101">
        <v>2186</v>
      </c>
      <c r="AQ101">
        <v>2186</v>
      </c>
      <c r="AR101">
        <v>2186</v>
      </c>
      <c r="BK101">
        <v>0</v>
      </c>
      <c r="BL101">
        <v>1060</v>
      </c>
      <c r="BM101" t="b">
        <f t="shared" si="4"/>
        <v>1</v>
      </c>
      <c r="BN101" t="b">
        <f t="shared" si="5"/>
        <v>1</v>
      </c>
      <c r="BO101">
        <v>1391</v>
      </c>
      <c r="BP101">
        <v>1391</v>
      </c>
      <c r="BQ101">
        <v>1391</v>
      </c>
      <c r="BR101">
        <v>0</v>
      </c>
      <c r="BS101" t="b">
        <f t="shared" si="6"/>
        <v>1</v>
      </c>
      <c r="BT101" t="b">
        <f t="shared" si="7"/>
        <v>1</v>
      </c>
    </row>
    <row r="102" spans="1:72" x14ac:dyDescent="0.35">
      <c r="A102" t="s">
        <v>262</v>
      </c>
      <c r="B102" t="s">
        <v>263</v>
      </c>
      <c r="C102">
        <v>3895</v>
      </c>
      <c r="D102">
        <v>3895</v>
      </c>
      <c r="E102">
        <v>3895</v>
      </c>
      <c r="F102">
        <v>90</v>
      </c>
      <c r="G102">
        <v>90</v>
      </c>
      <c r="H102">
        <v>90</v>
      </c>
      <c r="I102">
        <v>2730118</v>
      </c>
      <c r="J102">
        <v>2730118</v>
      </c>
      <c r="K102">
        <v>2730118</v>
      </c>
      <c r="L102">
        <v>3109023</v>
      </c>
      <c r="M102">
        <v>3109023</v>
      </c>
      <c r="N102">
        <v>3109023</v>
      </c>
      <c r="O102">
        <v>37349</v>
      </c>
      <c r="P102">
        <v>37349</v>
      </c>
      <c r="Q102">
        <v>37349</v>
      </c>
      <c r="R102">
        <v>123763</v>
      </c>
      <c r="S102">
        <v>123763</v>
      </c>
      <c r="T102">
        <v>123763</v>
      </c>
      <c r="U102">
        <v>3042</v>
      </c>
      <c r="V102">
        <v>3042</v>
      </c>
      <c r="W102">
        <v>3042</v>
      </c>
      <c r="AA102">
        <v>219</v>
      </c>
      <c r="AB102">
        <v>219</v>
      </c>
      <c r="AC102">
        <v>219</v>
      </c>
      <c r="AD102">
        <v>2994</v>
      </c>
      <c r="AE102">
        <v>2994</v>
      </c>
      <c r="AF102">
        <v>2994</v>
      </c>
      <c r="AG102">
        <v>1753</v>
      </c>
      <c r="AI102">
        <v>1753</v>
      </c>
      <c r="AJ102">
        <v>1129</v>
      </c>
      <c r="AL102">
        <v>1129</v>
      </c>
      <c r="AM102">
        <v>42887</v>
      </c>
      <c r="AN102">
        <v>42887</v>
      </c>
      <c r="AO102">
        <v>42887</v>
      </c>
      <c r="AP102">
        <v>134425</v>
      </c>
      <c r="AQ102">
        <v>134425</v>
      </c>
      <c r="AR102">
        <v>134425</v>
      </c>
      <c r="AS102">
        <v>60200</v>
      </c>
      <c r="AT102">
        <v>60200</v>
      </c>
      <c r="AU102">
        <v>60200</v>
      </c>
      <c r="AY102">
        <v>114925</v>
      </c>
      <c r="AZ102">
        <v>114925</v>
      </c>
      <c r="BA102">
        <v>114925</v>
      </c>
      <c r="BB102">
        <v>28477</v>
      </c>
      <c r="BC102">
        <v>28477</v>
      </c>
      <c r="BD102">
        <v>28477</v>
      </c>
      <c r="BE102">
        <v>1840</v>
      </c>
      <c r="BF102">
        <v>1840</v>
      </c>
      <c r="BG102">
        <v>1840</v>
      </c>
      <c r="BH102">
        <v>148</v>
      </c>
      <c r="BI102">
        <v>148</v>
      </c>
      <c r="BJ102">
        <v>148</v>
      </c>
      <c r="BK102">
        <v>0</v>
      </c>
      <c r="BL102">
        <v>21150</v>
      </c>
      <c r="BM102" t="b">
        <f t="shared" si="4"/>
        <v>1</v>
      </c>
      <c r="BN102" t="b">
        <f t="shared" si="5"/>
        <v>1</v>
      </c>
      <c r="BO102">
        <v>55225</v>
      </c>
      <c r="BP102">
        <v>55225</v>
      </c>
      <c r="BQ102">
        <v>55225</v>
      </c>
      <c r="BR102">
        <v>0</v>
      </c>
      <c r="BS102" t="b">
        <f t="shared" si="6"/>
        <v>1</v>
      </c>
      <c r="BT102" t="b">
        <f t="shared" si="7"/>
        <v>1</v>
      </c>
    </row>
    <row r="103" spans="1:72" x14ac:dyDescent="0.35">
      <c r="A103" t="s">
        <v>264</v>
      </c>
      <c r="B103" t="s">
        <v>265</v>
      </c>
      <c r="C103">
        <v>4891</v>
      </c>
      <c r="E103">
        <v>4891</v>
      </c>
      <c r="F103">
        <v>36</v>
      </c>
      <c r="G103">
        <v>36</v>
      </c>
      <c r="H103">
        <v>36</v>
      </c>
      <c r="I103">
        <v>2183902</v>
      </c>
      <c r="J103">
        <v>2183902</v>
      </c>
      <c r="K103">
        <v>2183902</v>
      </c>
      <c r="L103">
        <v>1718533</v>
      </c>
      <c r="M103">
        <v>1718533</v>
      </c>
      <c r="N103">
        <v>1718533</v>
      </c>
      <c r="O103">
        <v>31798</v>
      </c>
      <c r="P103">
        <v>31798</v>
      </c>
      <c r="Q103">
        <v>31798</v>
      </c>
      <c r="R103">
        <v>35125</v>
      </c>
      <c r="S103">
        <v>35125</v>
      </c>
      <c r="T103">
        <v>35125</v>
      </c>
      <c r="U103">
        <v>49025</v>
      </c>
      <c r="V103">
        <v>49025</v>
      </c>
      <c r="W103">
        <v>49025</v>
      </c>
      <c r="AA103">
        <v>10997</v>
      </c>
      <c r="AB103">
        <v>10997</v>
      </c>
      <c r="AC103">
        <v>10997</v>
      </c>
      <c r="AD103">
        <v>31798</v>
      </c>
      <c r="AE103">
        <v>31798</v>
      </c>
      <c r="AF103">
        <v>31798</v>
      </c>
      <c r="AG103">
        <v>14162</v>
      </c>
      <c r="AI103">
        <v>14162</v>
      </c>
      <c r="AM103">
        <v>13100</v>
      </c>
      <c r="AN103">
        <v>13100</v>
      </c>
      <c r="AO103">
        <v>13100</v>
      </c>
      <c r="AP103">
        <v>272854</v>
      </c>
      <c r="AQ103">
        <v>272854</v>
      </c>
      <c r="AR103">
        <v>272854</v>
      </c>
      <c r="AS103">
        <v>591</v>
      </c>
      <c r="AT103">
        <v>591</v>
      </c>
      <c r="AU103">
        <v>591</v>
      </c>
      <c r="AV103">
        <v>361</v>
      </c>
      <c r="AW103">
        <v>361</v>
      </c>
      <c r="AX103">
        <v>361</v>
      </c>
      <c r="AY103">
        <v>28455</v>
      </c>
      <c r="AZ103">
        <v>28455</v>
      </c>
      <c r="BA103">
        <v>28455</v>
      </c>
      <c r="BE103">
        <v>1879</v>
      </c>
      <c r="BF103">
        <v>1879</v>
      </c>
      <c r="BG103">
        <v>1879</v>
      </c>
      <c r="BH103">
        <v>141851</v>
      </c>
      <c r="BI103">
        <v>141851</v>
      </c>
      <c r="BJ103">
        <v>141851</v>
      </c>
      <c r="BK103">
        <v>1</v>
      </c>
      <c r="BM103" t="b">
        <f t="shared" si="4"/>
        <v>0</v>
      </c>
      <c r="BN103" t="b">
        <f t="shared" si="5"/>
        <v>1</v>
      </c>
      <c r="BO103">
        <v>527</v>
      </c>
      <c r="BP103">
        <v>527</v>
      </c>
      <c r="BQ103">
        <v>527</v>
      </c>
      <c r="BR103">
        <v>0</v>
      </c>
      <c r="BS103" t="b">
        <f t="shared" si="6"/>
        <v>1</v>
      </c>
      <c r="BT103" t="b">
        <f t="shared" si="7"/>
        <v>1</v>
      </c>
    </row>
    <row r="104" spans="1:72" x14ac:dyDescent="0.35">
      <c r="A104" t="s">
        <v>266</v>
      </c>
      <c r="B104" t="s">
        <v>267</v>
      </c>
      <c r="C104">
        <v>900</v>
      </c>
      <c r="D104">
        <v>900</v>
      </c>
      <c r="E104">
        <v>900</v>
      </c>
      <c r="F104">
        <v>62</v>
      </c>
      <c r="G104">
        <v>62</v>
      </c>
      <c r="H104">
        <v>62</v>
      </c>
      <c r="J104">
        <v>1990862</v>
      </c>
      <c r="K104">
        <v>1990862</v>
      </c>
      <c r="M104">
        <v>1995531</v>
      </c>
      <c r="N104">
        <v>1995531</v>
      </c>
      <c r="O104">
        <v>1061</v>
      </c>
      <c r="P104">
        <v>1061</v>
      </c>
      <c r="Q104">
        <v>1061</v>
      </c>
      <c r="R104">
        <v>11592</v>
      </c>
      <c r="S104">
        <v>11592</v>
      </c>
      <c r="T104">
        <v>11592</v>
      </c>
      <c r="U104">
        <v>27375</v>
      </c>
      <c r="V104">
        <v>27375</v>
      </c>
      <c r="W104">
        <v>27375</v>
      </c>
      <c r="AA104">
        <v>432</v>
      </c>
      <c r="AB104">
        <v>432</v>
      </c>
      <c r="AC104">
        <v>432</v>
      </c>
      <c r="AD104">
        <v>14491</v>
      </c>
      <c r="AE104">
        <v>14491</v>
      </c>
      <c r="AF104">
        <v>14491</v>
      </c>
      <c r="AG104">
        <v>11764</v>
      </c>
      <c r="AH104">
        <v>11764</v>
      </c>
      <c r="AI104">
        <v>11764</v>
      </c>
      <c r="AJ104">
        <v>0</v>
      </c>
      <c r="AL104">
        <v>0</v>
      </c>
      <c r="AM104">
        <v>2654</v>
      </c>
      <c r="AN104">
        <v>2654</v>
      </c>
      <c r="AO104">
        <v>2654</v>
      </c>
      <c r="AP104">
        <v>34543</v>
      </c>
      <c r="AQ104">
        <v>34543</v>
      </c>
      <c r="AR104">
        <v>34543</v>
      </c>
      <c r="AS104">
        <v>7739</v>
      </c>
      <c r="AT104">
        <v>7739</v>
      </c>
      <c r="AU104">
        <v>7739</v>
      </c>
      <c r="AV104">
        <v>1579</v>
      </c>
      <c r="AW104">
        <v>1579</v>
      </c>
      <c r="AX104">
        <v>1579</v>
      </c>
      <c r="AY104">
        <v>4804</v>
      </c>
      <c r="AZ104">
        <v>4804</v>
      </c>
      <c r="BA104">
        <v>4804</v>
      </c>
      <c r="BB104">
        <v>0</v>
      </c>
      <c r="BD104">
        <v>0</v>
      </c>
      <c r="BE104">
        <v>19992</v>
      </c>
      <c r="BF104">
        <v>19992</v>
      </c>
      <c r="BG104">
        <v>19992</v>
      </c>
      <c r="BH104">
        <v>3987</v>
      </c>
      <c r="BI104">
        <v>3987</v>
      </c>
      <c r="BJ104">
        <v>3987</v>
      </c>
      <c r="BK104">
        <v>1</v>
      </c>
      <c r="BM104" t="b">
        <f t="shared" si="4"/>
        <v>0</v>
      </c>
      <c r="BN104" t="b">
        <f t="shared" si="5"/>
        <v>1</v>
      </c>
      <c r="BO104">
        <v>2402</v>
      </c>
      <c r="BP104">
        <v>2402</v>
      </c>
      <c r="BQ104">
        <v>2402</v>
      </c>
      <c r="BR104">
        <v>0</v>
      </c>
      <c r="BS104" t="b">
        <f t="shared" si="6"/>
        <v>1</v>
      </c>
      <c r="BT104" t="b">
        <f t="shared" si="7"/>
        <v>1</v>
      </c>
    </row>
    <row r="105" spans="1:72" x14ac:dyDescent="0.35">
      <c r="A105" t="s">
        <v>268</v>
      </c>
      <c r="B105" t="s">
        <v>269</v>
      </c>
      <c r="D105">
        <v>12320</v>
      </c>
      <c r="E105">
        <v>12320</v>
      </c>
      <c r="G105">
        <v>160</v>
      </c>
      <c r="H105">
        <v>160</v>
      </c>
      <c r="J105">
        <v>12605333</v>
      </c>
      <c r="K105">
        <v>12605333</v>
      </c>
      <c r="M105">
        <v>8610064</v>
      </c>
      <c r="N105">
        <v>8610064</v>
      </c>
      <c r="P105">
        <v>69030</v>
      </c>
      <c r="Q105">
        <v>69030</v>
      </c>
      <c r="S105">
        <v>9926</v>
      </c>
      <c r="T105">
        <v>9926</v>
      </c>
      <c r="AB105">
        <v>24</v>
      </c>
      <c r="AC105">
        <v>24</v>
      </c>
      <c r="AE105">
        <v>1767</v>
      </c>
      <c r="AF105">
        <v>1767</v>
      </c>
      <c r="AK105">
        <v>782</v>
      </c>
      <c r="AL105">
        <v>782</v>
      </c>
      <c r="AN105">
        <v>3256</v>
      </c>
      <c r="AO105">
        <v>3256</v>
      </c>
      <c r="AQ105">
        <v>8091</v>
      </c>
      <c r="AR105">
        <v>8091</v>
      </c>
      <c r="AT105">
        <v>1252</v>
      </c>
      <c r="AU105">
        <v>1252</v>
      </c>
      <c r="AW105">
        <v>1030</v>
      </c>
      <c r="AX105">
        <v>1030</v>
      </c>
      <c r="AZ105">
        <v>3033</v>
      </c>
      <c r="BA105">
        <v>3033</v>
      </c>
      <c r="BC105">
        <v>12838</v>
      </c>
      <c r="BD105">
        <v>12838</v>
      </c>
      <c r="BF105">
        <v>6935</v>
      </c>
      <c r="BG105">
        <v>6935</v>
      </c>
      <c r="BI105">
        <v>213</v>
      </c>
      <c r="BJ105">
        <v>213</v>
      </c>
      <c r="BM105" t="b">
        <f t="shared" si="4"/>
        <v>0</v>
      </c>
      <c r="BN105" t="b">
        <f t="shared" si="5"/>
        <v>0</v>
      </c>
      <c r="BP105">
        <v>12946</v>
      </c>
      <c r="BQ105">
        <v>12946</v>
      </c>
      <c r="BS105" t="b">
        <f t="shared" si="6"/>
        <v>1</v>
      </c>
      <c r="BT105" t="b">
        <f t="shared" si="7"/>
        <v>1</v>
      </c>
    </row>
    <row r="106" spans="1:72" x14ac:dyDescent="0.35">
      <c r="A106" t="s">
        <v>270</v>
      </c>
      <c r="B106" t="s">
        <v>271</v>
      </c>
      <c r="C106">
        <v>1586</v>
      </c>
      <c r="D106">
        <v>1586</v>
      </c>
      <c r="E106">
        <v>1586</v>
      </c>
      <c r="F106">
        <v>3341</v>
      </c>
      <c r="G106">
        <v>3341</v>
      </c>
      <c r="H106">
        <v>3341</v>
      </c>
      <c r="I106">
        <v>332895209</v>
      </c>
      <c r="J106">
        <v>332895209</v>
      </c>
      <c r="K106">
        <v>332895209</v>
      </c>
      <c r="L106">
        <v>332501252</v>
      </c>
      <c r="M106">
        <v>332501252</v>
      </c>
      <c r="N106">
        <v>332501252</v>
      </c>
      <c r="O106">
        <v>41</v>
      </c>
      <c r="P106">
        <v>41</v>
      </c>
      <c r="Q106">
        <v>41</v>
      </c>
      <c r="R106">
        <v>51786</v>
      </c>
      <c r="T106">
        <v>51786</v>
      </c>
      <c r="U106">
        <v>0</v>
      </c>
      <c r="W106">
        <v>0</v>
      </c>
      <c r="AA106">
        <v>7723</v>
      </c>
      <c r="AB106">
        <v>7723</v>
      </c>
      <c r="AC106">
        <v>7723</v>
      </c>
      <c r="AD106">
        <v>12921</v>
      </c>
      <c r="AF106">
        <v>12921</v>
      </c>
      <c r="AJ106">
        <v>210</v>
      </c>
      <c r="AK106">
        <v>210</v>
      </c>
      <c r="AL106">
        <v>210</v>
      </c>
      <c r="AM106">
        <v>412</v>
      </c>
      <c r="AN106">
        <v>412</v>
      </c>
      <c r="AO106">
        <v>412</v>
      </c>
      <c r="AP106">
        <v>20070</v>
      </c>
      <c r="AQ106">
        <v>20070</v>
      </c>
      <c r="AR106">
        <v>20070</v>
      </c>
      <c r="AS106">
        <v>2486</v>
      </c>
      <c r="AT106">
        <v>2486</v>
      </c>
      <c r="AU106">
        <v>2486</v>
      </c>
      <c r="BB106">
        <v>7160</v>
      </c>
      <c r="BC106">
        <v>7160</v>
      </c>
      <c r="BD106">
        <v>7160</v>
      </c>
      <c r="BE106">
        <v>1362</v>
      </c>
      <c r="BF106">
        <v>1362</v>
      </c>
      <c r="BG106">
        <v>1362</v>
      </c>
      <c r="BH106">
        <v>14251</v>
      </c>
      <c r="BI106">
        <v>14251</v>
      </c>
      <c r="BJ106">
        <v>14251</v>
      </c>
      <c r="BK106">
        <v>0</v>
      </c>
      <c r="BL106">
        <v>15588</v>
      </c>
      <c r="BM106" t="b">
        <f t="shared" si="4"/>
        <v>1</v>
      </c>
      <c r="BN106" t="b">
        <f t="shared" si="5"/>
        <v>1</v>
      </c>
      <c r="BO106">
        <v>3443</v>
      </c>
      <c r="BP106">
        <v>3443</v>
      </c>
      <c r="BQ106">
        <v>3443</v>
      </c>
      <c r="BR106">
        <v>0</v>
      </c>
      <c r="BS106" t="b">
        <f t="shared" si="6"/>
        <v>1</v>
      </c>
      <c r="BT106" t="b">
        <f t="shared" si="7"/>
        <v>1</v>
      </c>
    </row>
    <row r="107" spans="1:72" x14ac:dyDescent="0.35">
      <c r="A107" t="s">
        <v>272</v>
      </c>
      <c r="B107" t="s">
        <v>273</v>
      </c>
      <c r="D107">
        <v>1000</v>
      </c>
      <c r="E107">
        <v>1000</v>
      </c>
      <c r="G107">
        <v>2300</v>
      </c>
      <c r="H107">
        <v>2300</v>
      </c>
      <c r="J107">
        <v>27107316</v>
      </c>
      <c r="K107">
        <v>27107316</v>
      </c>
      <c r="M107">
        <v>25360004</v>
      </c>
      <c r="N107">
        <v>25360004</v>
      </c>
      <c r="P107">
        <v>3447</v>
      </c>
      <c r="Q107">
        <v>3447</v>
      </c>
      <c r="S107">
        <v>50350</v>
      </c>
      <c r="T107">
        <v>50350</v>
      </c>
      <c r="AB107">
        <v>2893</v>
      </c>
      <c r="AC107">
        <v>2893</v>
      </c>
      <c r="AK107">
        <v>250</v>
      </c>
      <c r="AL107">
        <v>250</v>
      </c>
      <c r="AN107">
        <v>1500</v>
      </c>
      <c r="AO107">
        <v>1500</v>
      </c>
      <c r="AQ107">
        <v>5516</v>
      </c>
      <c r="AR107">
        <v>5516</v>
      </c>
      <c r="BC107">
        <v>9910</v>
      </c>
      <c r="BD107">
        <v>9910</v>
      </c>
      <c r="BF107">
        <v>238</v>
      </c>
      <c r="BG107">
        <v>238</v>
      </c>
      <c r="BM107" t="b">
        <f t="shared" si="4"/>
        <v>0</v>
      </c>
      <c r="BN107" t="b">
        <f t="shared" si="5"/>
        <v>0</v>
      </c>
      <c r="BP107">
        <v>6882</v>
      </c>
      <c r="BQ107">
        <v>6882</v>
      </c>
      <c r="BS107" t="b">
        <f t="shared" si="6"/>
        <v>1</v>
      </c>
      <c r="BT107" t="b">
        <f t="shared" si="7"/>
        <v>1</v>
      </c>
    </row>
    <row r="108" spans="1:72" x14ac:dyDescent="0.35">
      <c r="A108" t="s">
        <v>274</v>
      </c>
      <c r="B108" t="s">
        <v>275</v>
      </c>
      <c r="D108">
        <v>4033</v>
      </c>
      <c r="E108">
        <v>4033</v>
      </c>
      <c r="G108">
        <v>369</v>
      </c>
      <c r="H108">
        <v>369</v>
      </c>
      <c r="AB108">
        <v>27451</v>
      </c>
      <c r="AC108">
        <v>27451</v>
      </c>
      <c r="AE108">
        <v>34414</v>
      </c>
      <c r="AF108">
        <v>34414</v>
      </c>
      <c r="AN108">
        <v>2136</v>
      </c>
      <c r="AO108">
        <v>2136</v>
      </c>
      <c r="AQ108">
        <v>32638</v>
      </c>
      <c r="AR108">
        <v>32638</v>
      </c>
      <c r="AT108">
        <v>13987</v>
      </c>
      <c r="AU108">
        <v>13987</v>
      </c>
      <c r="AZ108">
        <v>481409</v>
      </c>
      <c r="BA108">
        <v>481409</v>
      </c>
      <c r="BC108">
        <v>2965</v>
      </c>
      <c r="BD108">
        <v>2965</v>
      </c>
      <c r="BM108" t="b">
        <f t="shared" si="4"/>
        <v>0</v>
      </c>
      <c r="BN108" t="b">
        <f t="shared" si="5"/>
        <v>0</v>
      </c>
      <c r="BP108">
        <v>3797</v>
      </c>
      <c r="BQ108">
        <v>3797</v>
      </c>
      <c r="BS108" t="b">
        <f t="shared" si="6"/>
        <v>1</v>
      </c>
      <c r="BT108" t="b">
        <f t="shared" si="7"/>
        <v>1</v>
      </c>
    </row>
    <row r="109" spans="1:72" x14ac:dyDescent="0.35">
      <c r="A109" t="s">
        <v>276</v>
      </c>
      <c r="B109" t="s">
        <v>277</v>
      </c>
      <c r="D109">
        <v>4000</v>
      </c>
      <c r="E109">
        <v>4000</v>
      </c>
      <c r="G109">
        <v>925</v>
      </c>
      <c r="H109">
        <v>925</v>
      </c>
      <c r="J109">
        <v>2877487</v>
      </c>
      <c r="K109">
        <v>2877487</v>
      </c>
      <c r="M109">
        <v>474446</v>
      </c>
      <c r="N109">
        <v>474446</v>
      </c>
      <c r="P109">
        <v>30000</v>
      </c>
      <c r="Q109">
        <v>30000</v>
      </c>
      <c r="S109">
        <v>10866</v>
      </c>
      <c r="T109">
        <v>10866</v>
      </c>
      <c r="V109">
        <v>9748</v>
      </c>
      <c r="W109">
        <v>9748</v>
      </c>
      <c r="AB109">
        <v>27013</v>
      </c>
      <c r="AC109">
        <v>27013</v>
      </c>
      <c r="AE109">
        <v>22188</v>
      </c>
      <c r="AF109">
        <v>22188</v>
      </c>
      <c r="AN109">
        <v>912</v>
      </c>
      <c r="AO109">
        <v>912</v>
      </c>
      <c r="AQ109">
        <v>14595</v>
      </c>
      <c r="AR109">
        <v>14595</v>
      </c>
      <c r="AT109">
        <v>204</v>
      </c>
      <c r="AU109">
        <v>204</v>
      </c>
      <c r="AZ109">
        <v>26680</v>
      </c>
      <c r="BA109">
        <v>26680</v>
      </c>
      <c r="BF109">
        <v>120</v>
      </c>
      <c r="BG109">
        <v>120</v>
      </c>
      <c r="BM109" t="b">
        <f t="shared" si="4"/>
        <v>0</v>
      </c>
      <c r="BN109" t="b">
        <f t="shared" si="5"/>
        <v>0</v>
      </c>
      <c r="BP109">
        <v>11060</v>
      </c>
      <c r="BQ109">
        <v>11060</v>
      </c>
      <c r="BS109" t="b">
        <f t="shared" si="6"/>
        <v>1</v>
      </c>
      <c r="BT109" t="b">
        <f t="shared" si="7"/>
        <v>1</v>
      </c>
    </row>
    <row r="110" spans="1:72" x14ac:dyDescent="0.35">
      <c r="A110" t="s">
        <v>278</v>
      </c>
      <c r="B110" t="s">
        <v>279</v>
      </c>
      <c r="C110">
        <v>750</v>
      </c>
      <c r="D110">
        <v>750</v>
      </c>
      <c r="E110">
        <v>750</v>
      </c>
      <c r="F110">
        <v>78</v>
      </c>
      <c r="G110">
        <v>78</v>
      </c>
      <c r="H110">
        <v>78</v>
      </c>
      <c r="BM110" t="b">
        <f t="shared" si="4"/>
        <v>0</v>
      </c>
      <c r="BN110" t="b">
        <f t="shared" si="5"/>
        <v>0</v>
      </c>
      <c r="BS110" t="b">
        <f t="shared" si="6"/>
        <v>0</v>
      </c>
      <c r="BT110" t="b">
        <f t="shared" si="7"/>
        <v>0</v>
      </c>
    </row>
    <row r="111" spans="1:72" x14ac:dyDescent="0.35">
      <c r="A111" t="s">
        <v>280</v>
      </c>
      <c r="B111" t="s">
        <v>281</v>
      </c>
      <c r="D111">
        <v>1550</v>
      </c>
      <c r="E111">
        <v>1550</v>
      </c>
      <c r="G111">
        <v>65</v>
      </c>
      <c r="H111">
        <v>65</v>
      </c>
      <c r="J111">
        <v>1249998</v>
      </c>
      <c r="K111">
        <v>1249998</v>
      </c>
      <c r="M111">
        <v>757800</v>
      </c>
      <c r="N111">
        <v>757800</v>
      </c>
      <c r="P111">
        <v>7361</v>
      </c>
      <c r="Q111">
        <v>7361</v>
      </c>
      <c r="AB111">
        <v>2300</v>
      </c>
      <c r="AC111">
        <v>2300</v>
      </c>
      <c r="AE111">
        <v>4000</v>
      </c>
      <c r="AF111">
        <v>4000</v>
      </c>
      <c r="AH111">
        <v>13700</v>
      </c>
      <c r="AI111">
        <v>13700</v>
      </c>
      <c r="AK111">
        <v>12475</v>
      </c>
      <c r="AL111">
        <v>12475</v>
      </c>
      <c r="AN111">
        <v>36147</v>
      </c>
      <c r="AO111">
        <v>36147</v>
      </c>
      <c r="AQ111">
        <v>8480</v>
      </c>
      <c r="AR111">
        <v>8480</v>
      </c>
      <c r="AT111">
        <v>417</v>
      </c>
      <c r="AU111">
        <v>417</v>
      </c>
      <c r="AZ111">
        <v>8800</v>
      </c>
      <c r="BA111">
        <v>8800</v>
      </c>
      <c r="BC111">
        <v>43752</v>
      </c>
      <c r="BD111">
        <v>43752</v>
      </c>
      <c r="BF111">
        <v>2558</v>
      </c>
      <c r="BG111">
        <v>2558</v>
      </c>
      <c r="BI111">
        <v>150</v>
      </c>
      <c r="BJ111">
        <v>150</v>
      </c>
      <c r="BM111" t="b">
        <f t="shared" si="4"/>
        <v>0</v>
      </c>
      <c r="BN111" t="b">
        <f t="shared" si="5"/>
        <v>0</v>
      </c>
      <c r="BP111">
        <v>385</v>
      </c>
      <c r="BQ111">
        <v>385</v>
      </c>
      <c r="BS111" t="b">
        <f t="shared" si="6"/>
        <v>1</v>
      </c>
      <c r="BT111" t="b">
        <f t="shared" si="7"/>
        <v>1</v>
      </c>
    </row>
    <row r="112" spans="1:72" x14ac:dyDescent="0.35">
      <c r="A112" t="s">
        <v>282</v>
      </c>
      <c r="B112" t="s">
        <v>283</v>
      </c>
      <c r="C112">
        <v>841</v>
      </c>
      <c r="E112">
        <v>841</v>
      </c>
      <c r="F112">
        <v>179</v>
      </c>
      <c r="G112">
        <v>179</v>
      </c>
      <c r="H112">
        <v>179</v>
      </c>
      <c r="I112">
        <v>2890340</v>
      </c>
      <c r="J112">
        <v>2890340</v>
      </c>
      <c r="K112">
        <v>2890340</v>
      </c>
      <c r="L112">
        <v>2890340</v>
      </c>
      <c r="M112">
        <v>2890340</v>
      </c>
      <c r="N112">
        <v>2890340</v>
      </c>
      <c r="O112">
        <v>5880</v>
      </c>
      <c r="P112">
        <v>5880</v>
      </c>
      <c r="Q112">
        <v>5880</v>
      </c>
      <c r="R112">
        <v>67450</v>
      </c>
      <c r="S112">
        <v>67450</v>
      </c>
      <c r="T112">
        <v>67450</v>
      </c>
      <c r="U112">
        <v>973</v>
      </c>
      <c r="V112">
        <v>973</v>
      </c>
      <c r="W112">
        <v>973</v>
      </c>
      <c r="AA112">
        <v>0</v>
      </c>
      <c r="AC112">
        <v>0</v>
      </c>
      <c r="AD112">
        <v>22066</v>
      </c>
      <c r="AE112">
        <v>22066</v>
      </c>
      <c r="AF112">
        <v>22066</v>
      </c>
      <c r="AG112">
        <v>13387</v>
      </c>
      <c r="AI112">
        <v>13387</v>
      </c>
      <c r="AM112">
        <v>1004</v>
      </c>
      <c r="AN112">
        <v>1004</v>
      </c>
      <c r="AO112">
        <v>1004</v>
      </c>
      <c r="AP112">
        <v>24670</v>
      </c>
      <c r="AQ112">
        <v>24670</v>
      </c>
      <c r="AR112">
        <v>24670</v>
      </c>
      <c r="AS112">
        <v>3800</v>
      </c>
      <c r="AT112">
        <v>3800</v>
      </c>
      <c r="AU112">
        <v>3800</v>
      </c>
      <c r="AY112">
        <v>20059</v>
      </c>
      <c r="AZ112">
        <v>20059</v>
      </c>
      <c r="BA112">
        <v>20059</v>
      </c>
      <c r="BB112">
        <v>6880</v>
      </c>
      <c r="BC112">
        <v>6880</v>
      </c>
      <c r="BD112">
        <v>6880</v>
      </c>
      <c r="BE112">
        <v>11058</v>
      </c>
      <c r="BF112">
        <v>11058</v>
      </c>
      <c r="BG112">
        <v>11058</v>
      </c>
      <c r="BH112">
        <v>11759</v>
      </c>
      <c r="BI112">
        <v>11759</v>
      </c>
      <c r="BJ112">
        <v>11759</v>
      </c>
      <c r="BK112">
        <v>0</v>
      </c>
      <c r="BL112">
        <v>5856</v>
      </c>
      <c r="BM112" t="b">
        <f t="shared" si="4"/>
        <v>1</v>
      </c>
      <c r="BN112" t="b">
        <f t="shared" si="5"/>
        <v>1</v>
      </c>
      <c r="BO112">
        <v>8081</v>
      </c>
      <c r="BP112">
        <v>8081</v>
      </c>
      <c r="BQ112">
        <v>8081</v>
      </c>
      <c r="BR112">
        <v>0</v>
      </c>
      <c r="BS112" t="b">
        <f t="shared" si="6"/>
        <v>1</v>
      </c>
      <c r="BT112" t="b">
        <f t="shared" si="7"/>
        <v>1</v>
      </c>
    </row>
    <row r="113" spans="1:72" x14ac:dyDescent="0.35">
      <c r="A113" t="s">
        <v>284</v>
      </c>
      <c r="B113" t="s">
        <v>285</v>
      </c>
      <c r="C113">
        <v>10000</v>
      </c>
      <c r="D113">
        <v>10000</v>
      </c>
      <c r="E113">
        <v>10000</v>
      </c>
      <c r="F113">
        <v>143</v>
      </c>
      <c r="H113">
        <v>143</v>
      </c>
      <c r="I113">
        <v>1129948</v>
      </c>
      <c r="J113">
        <v>1129948</v>
      </c>
      <c r="K113">
        <v>1129948</v>
      </c>
      <c r="L113">
        <v>966742</v>
      </c>
      <c r="M113">
        <v>966742</v>
      </c>
      <c r="N113">
        <v>966742</v>
      </c>
      <c r="O113">
        <v>76692</v>
      </c>
      <c r="Q113">
        <v>76692</v>
      </c>
      <c r="R113">
        <v>0</v>
      </c>
      <c r="T113">
        <v>0</v>
      </c>
      <c r="U113">
        <v>43858</v>
      </c>
      <c r="V113">
        <v>43858</v>
      </c>
      <c r="W113">
        <v>43858</v>
      </c>
      <c r="AA113">
        <v>9946</v>
      </c>
      <c r="AC113">
        <v>9946</v>
      </c>
      <c r="AD113">
        <v>360</v>
      </c>
      <c r="AE113">
        <v>360</v>
      </c>
      <c r="AF113">
        <v>360</v>
      </c>
      <c r="AG113">
        <v>135</v>
      </c>
      <c r="AI113">
        <v>135</v>
      </c>
      <c r="AM113">
        <v>28004</v>
      </c>
      <c r="AO113">
        <v>28004</v>
      </c>
      <c r="AP113">
        <v>2266366</v>
      </c>
      <c r="AR113">
        <v>2266366</v>
      </c>
      <c r="AS113">
        <v>0</v>
      </c>
      <c r="AU113">
        <v>0</v>
      </c>
      <c r="AV113">
        <v>2263204</v>
      </c>
      <c r="AX113">
        <v>2263204</v>
      </c>
      <c r="AY113">
        <v>36777</v>
      </c>
      <c r="AZ113">
        <v>36777</v>
      </c>
      <c r="BA113">
        <v>36777</v>
      </c>
      <c r="BE113">
        <v>5082</v>
      </c>
      <c r="BF113">
        <v>5082</v>
      </c>
      <c r="BG113">
        <v>5082</v>
      </c>
      <c r="BK113">
        <v>0</v>
      </c>
      <c r="BL113">
        <v>120</v>
      </c>
      <c r="BM113" t="b">
        <f t="shared" si="4"/>
        <v>1</v>
      </c>
      <c r="BN113" t="b">
        <f t="shared" si="5"/>
        <v>1</v>
      </c>
      <c r="BO113">
        <v>2021</v>
      </c>
      <c r="BP113">
        <v>2021</v>
      </c>
      <c r="BQ113">
        <v>2021</v>
      </c>
      <c r="BR113">
        <v>0</v>
      </c>
      <c r="BS113" t="b">
        <f t="shared" si="6"/>
        <v>1</v>
      </c>
      <c r="BT113" t="b">
        <f t="shared" si="7"/>
        <v>1</v>
      </c>
    </row>
    <row r="114" spans="1:72" x14ac:dyDescent="0.35">
      <c r="A114" t="s">
        <v>286</v>
      </c>
      <c r="B114" t="s">
        <v>287</v>
      </c>
      <c r="C114">
        <v>37</v>
      </c>
      <c r="E114">
        <v>37</v>
      </c>
      <c r="F114">
        <v>9</v>
      </c>
      <c r="G114">
        <v>9</v>
      </c>
      <c r="H114">
        <v>9</v>
      </c>
      <c r="I114">
        <v>867887</v>
      </c>
      <c r="K114">
        <v>867887</v>
      </c>
      <c r="L114">
        <v>791451</v>
      </c>
      <c r="M114">
        <v>791451</v>
      </c>
      <c r="N114">
        <v>791451</v>
      </c>
      <c r="O114">
        <v>5000</v>
      </c>
      <c r="P114">
        <v>5000</v>
      </c>
      <c r="Q114">
        <v>5000</v>
      </c>
      <c r="R114">
        <v>5000</v>
      </c>
      <c r="S114">
        <v>5000</v>
      </c>
      <c r="T114">
        <v>5000</v>
      </c>
      <c r="U114">
        <v>5000</v>
      </c>
      <c r="V114">
        <v>5000</v>
      </c>
      <c r="W114">
        <v>5000</v>
      </c>
      <c r="AA114">
        <v>105</v>
      </c>
      <c r="AB114">
        <v>105</v>
      </c>
      <c r="AC114">
        <v>105</v>
      </c>
      <c r="AD114">
        <v>5000</v>
      </c>
      <c r="AE114">
        <v>5000</v>
      </c>
      <c r="AF114">
        <v>5000</v>
      </c>
      <c r="AG114">
        <v>5000</v>
      </c>
      <c r="AI114">
        <v>5000</v>
      </c>
      <c r="AJ114">
        <v>5000</v>
      </c>
      <c r="AL114">
        <v>5000</v>
      </c>
      <c r="AP114">
        <v>5000</v>
      </c>
      <c r="AQ114">
        <v>5000</v>
      </c>
      <c r="AR114">
        <v>5000</v>
      </c>
      <c r="AS114">
        <v>105</v>
      </c>
      <c r="AT114">
        <v>105</v>
      </c>
      <c r="AU114">
        <v>105</v>
      </c>
      <c r="AY114">
        <v>5000</v>
      </c>
      <c r="AZ114">
        <v>5000</v>
      </c>
      <c r="BA114">
        <v>5000</v>
      </c>
      <c r="BE114">
        <v>5000</v>
      </c>
      <c r="BF114">
        <v>5000</v>
      </c>
      <c r="BG114">
        <v>5000</v>
      </c>
      <c r="BH114">
        <v>5000</v>
      </c>
      <c r="BI114">
        <v>5000</v>
      </c>
      <c r="BJ114">
        <v>5000</v>
      </c>
      <c r="BK114">
        <v>1</v>
      </c>
      <c r="BM114" t="b">
        <f t="shared" si="4"/>
        <v>0</v>
      </c>
      <c r="BN114" t="b">
        <f t="shared" si="5"/>
        <v>1</v>
      </c>
      <c r="BO114">
        <v>261</v>
      </c>
      <c r="BP114">
        <v>261</v>
      </c>
      <c r="BQ114">
        <v>261</v>
      </c>
      <c r="BR114">
        <v>0</v>
      </c>
      <c r="BS114" t="b">
        <f t="shared" si="6"/>
        <v>1</v>
      </c>
      <c r="BT114" t="b">
        <f t="shared" si="7"/>
        <v>1</v>
      </c>
    </row>
    <row r="115" spans="1:72" x14ac:dyDescent="0.35">
      <c r="A115" t="s">
        <v>288</v>
      </c>
      <c r="B115" t="s">
        <v>289</v>
      </c>
      <c r="D115">
        <v>4585</v>
      </c>
      <c r="E115">
        <v>4585</v>
      </c>
      <c r="G115">
        <v>204</v>
      </c>
      <c r="H115">
        <v>204</v>
      </c>
      <c r="J115">
        <v>3746157</v>
      </c>
      <c r="K115">
        <v>3746157</v>
      </c>
      <c r="M115">
        <v>2771185</v>
      </c>
      <c r="N115">
        <v>2771185</v>
      </c>
      <c r="P115">
        <v>220</v>
      </c>
      <c r="Q115">
        <v>220</v>
      </c>
      <c r="V115">
        <v>9610</v>
      </c>
      <c r="W115">
        <v>9610</v>
      </c>
      <c r="AB115">
        <v>22</v>
      </c>
      <c r="AC115">
        <v>22</v>
      </c>
      <c r="AE115">
        <v>25</v>
      </c>
      <c r="AF115">
        <v>25</v>
      </c>
      <c r="AH115">
        <v>3096</v>
      </c>
      <c r="AI115">
        <v>3096</v>
      </c>
      <c r="AK115">
        <v>23304</v>
      </c>
      <c r="AL115">
        <v>23304</v>
      </c>
      <c r="AQ115">
        <v>30084</v>
      </c>
      <c r="AR115">
        <v>30084</v>
      </c>
      <c r="AZ115">
        <v>1686</v>
      </c>
      <c r="BA115">
        <v>1686</v>
      </c>
      <c r="BC115">
        <v>11078</v>
      </c>
      <c r="BD115">
        <v>11078</v>
      </c>
      <c r="BI115">
        <v>3344</v>
      </c>
      <c r="BJ115">
        <v>3344</v>
      </c>
      <c r="BM115" t="b">
        <f t="shared" si="4"/>
        <v>0</v>
      </c>
      <c r="BN115" t="b">
        <f t="shared" si="5"/>
        <v>0</v>
      </c>
      <c r="BP115">
        <v>28152</v>
      </c>
      <c r="BQ115">
        <v>28152</v>
      </c>
      <c r="BS115" t="b">
        <f t="shared" si="6"/>
        <v>1</v>
      </c>
      <c r="BT115" t="b">
        <f t="shared" si="7"/>
        <v>1</v>
      </c>
    </row>
    <row r="116" spans="1:72" x14ac:dyDescent="0.35">
      <c r="A116" t="s">
        <v>290</v>
      </c>
      <c r="B116" t="s">
        <v>291</v>
      </c>
      <c r="C116">
        <v>2613</v>
      </c>
      <c r="E116">
        <v>2613</v>
      </c>
      <c r="F116">
        <v>286</v>
      </c>
      <c r="G116">
        <v>286</v>
      </c>
      <c r="H116">
        <v>286</v>
      </c>
      <c r="J116">
        <v>11630523</v>
      </c>
      <c r="K116">
        <v>11630523</v>
      </c>
      <c r="M116">
        <v>9874147</v>
      </c>
      <c r="N116">
        <v>9874147</v>
      </c>
      <c r="O116">
        <v>40926</v>
      </c>
      <c r="P116">
        <v>40926</v>
      </c>
      <c r="Q116">
        <v>40926</v>
      </c>
      <c r="U116">
        <v>31123</v>
      </c>
      <c r="V116">
        <v>31123</v>
      </c>
      <c r="W116">
        <v>31123</v>
      </c>
      <c r="AA116">
        <v>6983</v>
      </c>
      <c r="AB116">
        <v>6983</v>
      </c>
      <c r="AC116">
        <v>6983</v>
      </c>
      <c r="AD116">
        <v>11224</v>
      </c>
      <c r="AE116">
        <v>11224</v>
      </c>
      <c r="AF116">
        <v>11224</v>
      </c>
      <c r="AG116">
        <v>52156</v>
      </c>
      <c r="AI116">
        <v>52156</v>
      </c>
      <c r="AJ116">
        <v>0</v>
      </c>
      <c r="AL116">
        <v>0</v>
      </c>
      <c r="AM116">
        <v>81641</v>
      </c>
      <c r="AN116">
        <v>81641</v>
      </c>
      <c r="AO116">
        <v>81641</v>
      </c>
      <c r="AP116">
        <v>2769050</v>
      </c>
      <c r="AQ116">
        <v>2769050</v>
      </c>
      <c r="AR116">
        <v>2769050</v>
      </c>
      <c r="AS116">
        <v>33288</v>
      </c>
      <c r="AT116">
        <v>33288</v>
      </c>
      <c r="AU116">
        <v>33288</v>
      </c>
      <c r="AV116">
        <v>24218</v>
      </c>
      <c r="AW116">
        <v>24218</v>
      </c>
      <c r="AX116">
        <v>24218</v>
      </c>
      <c r="AY116">
        <v>73880</v>
      </c>
      <c r="AZ116">
        <v>73880</v>
      </c>
      <c r="BA116">
        <v>73880</v>
      </c>
      <c r="BB116">
        <v>1544199</v>
      </c>
      <c r="BC116">
        <v>1544199</v>
      </c>
      <c r="BD116">
        <v>1544199</v>
      </c>
      <c r="BE116">
        <v>22482</v>
      </c>
      <c r="BF116">
        <v>22482</v>
      </c>
      <c r="BG116">
        <v>22482</v>
      </c>
      <c r="BH116">
        <v>3127</v>
      </c>
      <c r="BI116">
        <v>3127</v>
      </c>
      <c r="BJ116">
        <v>3127</v>
      </c>
      <c r="BK116">
        <v>0</v>
      </c>
      <c r="BL116">
        <v>90</v>
      </c>
      <c r="BM116" t="b">
        <f t="shared" si="4"/>
        <v>1</v>
      </c>
      <c r="BN116" t="b">
        <f t="shared" si="5"/>
        <v>1</v>
      </c>
      <c r="BO116">
        <v>1054</v>
      </c>
      <c r="BP116">
        <v>1054</v>
      </c>
      <c r="BQ116">
        <v>1054</v>
      </c>
      <c r="BR116">
        <v>0</v>
      </c>
      <c r="BS116" t="b">
        <f t="shared" si="6"/>
        <v>1</v>
      </c>
      <c r="BT116" t="b">
        <f t="shared" si="7"/>
        <v>1</v>
      </c>
    </row>
    <row r="117" spans="1:72" x14ac:dyDescent="0.35">
      <c r="A117" t="s">
        <v>292</v>
      </c>
      <c r="B117" t="s">
        <v>293</v>
      </c>
      <c r="D117">
        <v>6642</v>
      </c>
      <c r="E117">
        <v>6642</v>
      </c>
      <c r="G117">
        <v>495</v>
      </c>
      <c r="H117">
        <v>495</v>
      </c>
      <c r="J117">
        <v>11865373</v>
      </c>
      <c r="K117">
        <v>11865373</v>
      </c>
      <c r="M117">
        <v>7553414</v>
      </c>
      <c r="N117">
        <v>7553414</v>
      </c>
      <c r="P117">
        <v>370237</v>
      </c>
      <c r="Q117">
        <v>370237</v>
      </c>
      <c r="S117">
        <v>446752</v>
      </c>
      <c r="T117">
        <v>446752</v>
      </c>
      <c r="V117">
        <v>407126</v>
      </c>
      <c r="W117">
        <v>407126</v>
      </c>
      <c r="AB117">
        <v>25590</v>
      </c>
      <c r="AC117">
        <v>25590</v>
      </c>
      <c r="AE117">
        <v>5067</v>
      </c>
      <c r="AF117">
        <v>5067</v>
      </c>
      <c r="AH117">
        <v>8125</v>
      </c>
      <c r="AI117">
        <v>8125</v>
      </c>
      <c r="AK117">
        <v>3363</v>
      </c>
      <c r="AL117">
        <v>3363</v>
      </c>
      <c r="AN117">
        <v>57555</v>
      </c>
      <c r="AO117">
        <v>57555</v>
      </c>
      <c r="AQ117">
        <v>78602</v>
      </c>
      <c r="AR117">
        <v>78602</v>
      </c>
      <c r="AT117">
        <v>1300</v>
      </c>
      <c r="AU117">
        <v>1300</v>
      </c>
      <c r="AZ117">
        <v>28317</v>
      </c>
      <c r="BA117">
        <v>28317</v>
      </c>
      <c r="BC117">
        <v>48157</v>
      </c>
      <c r="BD117">
        <v>48157</v>
      </c>
      <c r="BF117">
        <v>100</v>
      </c>
      <c r="BG117">
        <v>100</v>
      </c>
      <c r="BI117">
        <v>127961</v>
      </c>
      <c r="BJ117">
        <v>127961</v>
      </c>
      <c r="BM117" t="b">
        <f t="shared" si="4"/>
        <v>0</v>
      </c>
      <c r="BN117" t="b">
        <f t="shared" si="5"/>
        <v>0</v>
      </c>
      <c r="BP117">
        <v>31734</v>
      </c>
      <c r="BQ117">
        <v>31734</v>
      </c>
      <c r="BS117" t="b">
        <f t="shared" si="6"/>
        <v>1</v>
      </c>
      <c r="BT117" t="b">
        <f t="shared" si="7"/>
        <v>1</v>
      </c>
    </row>
    <row r="118" spans="1:72" x14ac:dyDescent="0.35">
      <c r="A118" t="s">
        <v>294</v>
      </c>
      <c r="B118" t="s">
        <v>295</v>
      </c>
      <c r="C118">
        <v>27634</v>
      </c>
      <c r="D118">
        <v>27634</v>
      </c>
      <c r="E118">
        <v>27634</v>
      </c>
      <c r="F118">
        <v>181</v>
      </c>
      <c r="G118">
        <v>181</v>
      </c>
      <c r="H118">
        <v>181</v>
      </c>
      <c r="I118">
        <v>3719440</v>
      </c>
      <c r="J118">
        <v>3719440</v>
      </c>
      <c r="K118">
        <v>3719440</v>
      </c>
      <c r="L118">
        <v>3719440</v>
      </c>
      <c r="M118">
        <v>3719440</v>
      </c>
      <c r="N118">
        <v>3719440</v>
      </c>
      <c r="O118">
        <v>227398</v>
      </c>
      <c r="P118">
        <v>227398</v>
      </c>
      <c r="Q118">
        <v>227398</v>
      </c>
      <c r="R118">
        <v>1546314</v>
      </c>
      <c r="T118">
        <v>1546314</v>
      </c>
      <c r="U118">
        <v>227398</v>
      </c>
      <c r="V118">
        <v>227398</v>
      </c>
      <c r="W118">
        <v>227398</v>
      </c>
      <c r="AD118">
        <v>25273</v>
      </c>
      <c r="AF118">
        <v>25273</v>
      </c>
      <c r="AG118">
        <v>175984</v>
      </c>
      <c r="AI118">
        <v>175984</v>
      </c>
      <c r="AM118">
        <v>41774</v>
      </c>
      <c r="AN118">
        <v>41774</v>
      </c>
      <c r="AO118">
        <v>41774</v>
      </c>
      <c r="AP118">
        <v>61337</v>
      </c>
      <c r="AQ118">
        <v>61337</v>
      </c>
      <c r="AR118">
        <v>61337</v>
      </c>
      <c r="AS118">
        <v>46808</v>
      </c>
      <c r="AU118">
        <v>46808</v>
      </c>
      <c r="AY118">
        <v>16473</v>
      </c>
      <c r="AZ118">
        <v>16473</v>
      </c>
      <c r="BA118">
        <v>16473</v>
      </c>
      <c r="BB118">
        <v>3461</v>
      </c>
      <c r="BC118">
        <v>3461</v>
      </c>
      <c r="BD118">
        <v>3461</v>
      </c>
      <c r="BE118">
        <v>447300</v>
      </c>
      <c r="BF118">
        <v>447300</v>
      </c>
      <c r="BG118">
        <v>447300</v>
      </c>
      <c r="BH118">
        <v>540724</v>
      </c>
      <c r="BI118">
        <v>540724</v>
      </c>
      <c r="BJ118">
        <v>540724</v>
      </c>
      <c r="BK118">
        <v>0</v>
      </c>
      <c r="BL118">
        <v>9500</v>
      </c>
      <c r="BM118" t="b">
        <f t="shared" si="4"/>
        <v>1</v>
      </c>
      <c r="BN118" t="b">
        <f t="shared" si="5"/>
        <v>1</v>
      </c>
      <c r="BO118">
        <v>37631</v>
      </c>
      <c r="BP118">
        <v>37631</v>
      </c>
      <c r="BQ118">
        <v>37631</v>
      </c>
      <c r="BR118">
        <v>0</v>
      </c>
      <c r="BS118" t="b">
        <f t="shared" si="6"/>
        <v>1</v>
      </c>
      <c r="BT118" t="b">
        <f t="shared" si="7"/>
        <v>1</v>
      </c>
    </row>
    <row r="119" spans="1:72" x14ac:dyDescent="0.35">
      <c r="A119" t="s">
        <v>296</v>
      </c>
      <c r="B119" t="s">
        <v>297</v>
      </c>
      <c r="D119">
        <v>5500</v>
      </c>
      <c r="E119">
        <v>5500</v>
      </c>
      <c r="G119">
        <v>19</v>
      </c>
      <c r="H119">
        <v>19</v>
      </c>
      <c r="J119">
        <v>17204</v>
      </c>
      <c r="K119">
        <v>17204</v>
      </c>
      <c r="M119">
        <v>12449</v>
      </c>
      <c r="N119">
        <v>12449</v>
      </c>
      <c r="P119">
        <v>23509</v>
      </c>
      <c r="Q119">
        <v>23509</v>
      </c>
      <c r="S119">
        <v>2700</v>
      </c>
      <c r="T119">
        <v>2700</v>
      </c>
      <c r="V119">
        <v>377481</v>
      </c>
      <c r="W119">
        <v>377481</v>
      </c>
      <c r="AB119">
        <v>3600</v>
      </c>
      <c r="AC119">
        <v>3600</v>
      </c>
      <c r="AE119">
        <v>10500</v>
      </c>
      <c r="AF119">
        <v>10500</v>
      </c>
      <c r="AH119">
        <v>3300</v>
      </c>
      <c r="AI119">
        <v>3300</v>
      </c>
      <c r="AN119">
        <v>9063</v>
      </c>
      <c r="AO119">
        <v>9063</v>
      </c>
      <c r="AQ119">
        <v>3600</v>
      </c>
      <c r="AR119">
        <v>3600</v>
      </c>
      <c r="AZ119">
        <v>12000</v>
      </c>
      <c r="BA119">
        <v>12000</v>
      </c>
      <c r="BC119">
        <v>1637</v>
      </c>
      <c r="BD119">
        <v>1637</v>
      </c>
      <c r="BM119" t="b">
        <f t="shared" si="4"/>
        <v>0</v>
      </c>
      <c r="BN119" t="b">
        <f t="shared" si="5"/>
        <v>0</v>
      </c>
      <c r="BP119">
        <v>456</v>
      </c>
      <c r="BQ119">
        <v>456</v>
      </c>
      <c r="BS119" t="b">
        <f t="shared" si="6"/>
        <v>1</v>
      </c>
      <c r="BT119" t="b">
        <f t="shared" si="7"/>
        <v>1</v>
      </c>
    </row>
    <row r="120" spans="1:72" x14ac:dyDescent="0.35">
      <c r="A120" t="s">
        <v>298</v>
      </c>
      <c r="B120" t="s">
        <v>299</v>
      </c>
      <c r="D120">
        <v>133</v>
      </c>
      <c r="E120">
        <v>133</v>
      </c>
      <c r="G120">
        <v>62</v>
      </c>
      <c r="H120">
        <v>62</v>
      </c>
      <c r="AQ120">
        <v>7218</v>
      </c>
      <c r="AR120">
        <v>7218</v>
      </c>
      <c r="AT120">
        <v>35</v>
      </c>
      <c r="AU120">
        <v>35</v>
      </c>
      <c r="BC120">
        <v>44</v>
      </c>
      <c r="BD120">
        <v>44</v>
      </c>
      <c r="BF120">
        <v>35</v>
      </c>
      <c r="BG120">
        <v>35</v>
      </c>
      <c r="BM120" t="b">
        <f t="shared" si="4"/>
        <v>0</v>
      </c>
      <c r="BN120" t="b">
        <f t="shared" si="5"/>
        <v>0</v>
      </c>
      <c r="BP120">
        <v>3264</v>
      </c>
      <c r="BQ120">
        <v>3264</v>
      </c>
      <c r="BS120" t="b">
        <f t="shared" si="6"/>
        <v>1</v>
      </c>
      <c r="BT120" t="b">
        <f t="shared" si="7"/>
        <v>1</v>
      </c>
    </row>
    <row r="121" spans="1:72" x14ac:dyDescent="0.35">
      <c r="A121" t="s">
        <v>300</v>
      </c>
      <c r="B121" t="s">
        <v>301</v>
      </c>
      <c r="C121">
        <v>110</v>
      </c>
      <c r="D121">
        <v>110</v>
      </c>
      <c r="E121">
        <v>110</v>
      </c>
      <c r="F121">
        <v>9</v>
      </c>
      <c r="H121">
        <v>9</v>
      </c>
      <c r="I121">
        <v>293413</v>
      </c>
      <c r="J121">
        <v>293413</v>
      </c>
      <c r="K121">
        <v>293413</v>
      </c>
      <c r="L121">
        <v>263355</v>
      </c>
      <c r="M121">
        <v>263355</v>
      </c>
      <c r="N121">
        <v>263355</v>
      </c>
      <c r="O121">
        <v>52</v>
      </c>
      <c r="P121">
        <v>52</v>
      </c>
      <c r="Q121">
        <v>52</v>
      </c>
      <c r="R121">
        <v>0</v>
      </c>
      <c r="T121">
        <v>0</v>
      </c>
      <c r="U121">
        <v>535</v>
      </c>
      <c r="V121">
        <v>535</v>
      </c>
      <c r="W121">
        <v>535</v>
      </c>
      <c r="AP121">
        <v>602</v>
      </c>
      <c r="AR121">
        <v>602</v>
      </c>
      <c r="BE121">
        <v>280</v>
      </c>
      <c r="BF121">
        <v>280</v>
      </c>
      <c r="BG121">
        <v>280</v>
      </c>
      <c r="BH121">
        <v>1235</v>
      </c>
      <c r="BJ121">
        <v>1235</v>
      </c>
      <c r="BK121">
        <v>1</v>
      </c>
      <c r="BM121" t="b">
        <f t="shared" si="4"/>
        <v>0</v>
      </c>
      <c r="BN121" t="b">
        <f t="shared" si="5"/>
        <v>1</v>
      </c>
      <c r="BO121">
        <v>542</v>
      </c>
      <c r="BP121">
        <v>542</v>
      </c>
      <c r="BQ121">
        <v>542</v>
      </c>
      <c r="BR121">
        <v>0</v>
      </c>
      <c r="BS121" t="b">
        <f t="shared" si="6"/>
        <v>1</v>
      </c>
      <c r="BT121" t="b">
        <f t="shared" si="7"/>
        <v>1</v>
      </c>
    </row>
    <row r="122" spans="1:72" x14ac:dyDescent="0.35">
      <c r="A122" t="s">
        <v>302</v>
      </c>
      <c r="B122" t="s">
        <v>303</v>
      </c>
      <c r="C122">
        <v>1306</v>
      </c>
      <c r="D122">
        <v>1306</v>
      </c>
      <c r="E122">
        <v>1306</v>
      </c>
      <c r="F122">
        <v>32</v>
      </c>
      <c r="G122">
        <v>32</v>
      </c>
      <c r="H122">
        <v>32</v>
      </c>
      <c r="I122">
        <v>949644</v>
      </c>
      <c r="J122">
        <v>949644</v>
      </c>
      <c r="K122">
        <v>949644</v>
      </c>
      <c r="L122">
        <v>966231</v>
      </c>
      <c r="M122">
        <v>966231</v>
      </c>
      <c r="N122">
        <v>966231</v>
      </c>
      <c r="O122">
        <v>44370</v>
      </c>
      <c r="P122">
        <v>44370</v>
      </c>
      <c r="Q122">
        <v>44370</v>
      </c>
      <c r="R122">
        <v>117643</v>
      </c>
      <c r="S122">
        <v>117643</v>
      </c>
      <c r="T122">
        <v>117643</v>
      </c>
      <c r="U122">
        <v>83488</v>
      </c>
      <c r="V122">
        <v>83488</v>
      </c>
      <c r="W122">
        <v>83488</v>
      </c>
      <c r="AD122">
        <v>2634</v>
      </c>
      <c r="AE122">
        <v>2634</v>
      </c>
      <c r="AF122">
        <v>2634</v>
      </c>
      <c r="AG122">
        <v>76423</v>
      </c>
      <c r="AI122">
        <v>76423</v>
      </c>
      <c r="AJ122">
        <v>6450</v>
      </c>
      <c r="AL122">
        <v>6450</v>
      </c>
      <c r="AP122">
        <v>170521</v>
      </c>
      <c r="AQ122">
        <v>170521</v>
      </c>
      <c r="AR122">
        <v>170521</v>
      </c>
      <c r="AS122">
        <v>8208</v>
      </c>
      <c r="AT122">
        <v>8208</v>
      </c>
      <c r="AU122">
        <v>8208</v>
      </c>
      <c r="AY122">
        <v>3384</v>
      </c>
      <c r="AZ122">
        <v>3384</v>
      </c>
      <c r="BA122">
        <v>3384</v>
      </c>
      <c r="BB122">
        <v>6456</v>
      </c>
      <c r="BC122">
        <v>6456</v>
      </c>
      <c r="BD122">
        <v>6456</v>
      </c>
      <c r="BE122">
        <v>161690</v>
      </c>
      <c r="BF122">
        <v>161690</v>
      </c>
      <c r="BG122">
        <v>161690</v>
      </c>
      <c r="BH122">
        <v>62502</v>
      </c>
      <c r="BI122">
        <v>62502</v>
      </c>
      <c r="BJ122">
        <v>62502</v>
      </c>
      <c r="BK122">
        <v>1</v>
      </c>
      <c r="BM122" t="b">
        <f t="shared" si="4"/>
        <v>0</v>
      </c>
      <c r="BN122" t="b">
        <f t="shared" si="5"/>
        <v>1</v>
      </c>
      <c r="BO122">
        <v>913</v>
      </c>
      <c r="BP122">
        <v>913</v>
      </c>
      <c r="BQ122">
        <v>913</v>
      </c>
      <c r="BR122">
        <v>0</v>
      </c>
      <c r="BS122" t="b">
        <f t="shared" si="6"/>
        <v>1</v>
      </c>
      <c r="BT122" t="b">
        <f t="shared" si="7"/>
        <v>1</v>
      </c>
    </row>
    <row r="123" spans="1:72" x14ac:dyDescent="0.35">
      <c r="A123" t="s">
        <v>304</v>
      </c>
      <c r="B123" t="s">
        <v>305</v>
      </c>
      <c r="C123">
        <v>85600</v>
      </c>
      <c r="D123">
        <v>85600</v>
      </c>
      <c r="E123">
        <v>85600</v>
      </c>
      <c r="F123">
        <v>272</v>
      </c>
      <c r="G123">
        <v>272</v>
      </c>
      <c r="H123">
        <v>272</v>
      </c>
      <c r="I123">
        <v>5004523</v>
      </c>
      <c r="J123">
        <v>5004521</v>
      </c>
      <c r="K123">
        <v>5004523</v>
      </c>
      <c r="L123">
        <v>4085922</v>
      </c>
      <c r="M123">
        <v>4085922</v>
      </c>
      <c r="N123">
        <v>4085922</v>
      </c>
      <c r="O123">
        <v>9313410</v>
      </c>
      <c r="P123">
        <v>138345</v>
      </c>
      <c r="Q123">
        <v>9313410</v>
      </c>
      <c r="R123">
        <v>3155570</v>
      </c>
      <c r="S123">
        <v>155570</v>
      </c>
      <c r="T123">
        <v>3155570</v>
      </c>
      <c r="U123">
        <v>9313410</v>
      </c>
      <c r="V123">
        <v>9313410</v>
      </c>
      <c r="W123">
        <v>9313410</v>
      </c>
      <c r="AA123">
        <v>8064</v>
      </c>
      <c r="AB123">
        <v>8064</v>
      </c>
      <c r="AC123">
        <v>8064</v>
      </c>
      <c r="AD123">
        <v>260185</v>
      </c>
      <c r="AE123">
        <v>260185</v>
      </c>
      <c r="AF123">
        <v>260185</v>
      </c>
      <c r="AG123">
        <v>8983325</v>
      </c>
      <c r="AH123">
        <v>8983325</v>
      </c>
      <c r="AI123">
        <v>8983325</v>
      </c>
      <c r="AM123">
        <v>24902</v>
      </c>
      <c r="AN123">
        <v>24902</v>
      </c>
      <c r="AO123">
        <v>24902</v>
      </c>
      <c r="AP123">
        <v>3723405</v>
      </c>
      <c r="AQ123">
        <v>3723405</v>
      </c>
      <c r="AR123">
        <v>3723405</v>
      </c>
      <c r="AS123">
        <v>235884</v>
      </c>
      <c r="AT123">
        <v>235884</v>
      </c>
      <c r="AU123">
        <v>235884</v>
      </c>
      <c r="AV123">
        <v>58205</v>
      </c>
      <c r="AW123">
        <v>58205</v>
      </c>
      <c r="AX123">
        <v>58205</v>
      </c>
      <c r="AY123">
        <v>3723405</v>
      </c>
      <c r="AZ123">
        <v>3723405</v>
      </c>
      <c r="BA123">
        <v>3723405</v>
      </c>
      <c r="BB123">
        <v>37650</v>
      </c>
      <c r="BC123">
        <v>37650</v>
      </c>
      <c r="BD123">
        <v>37650</v>
      </c>
      <c r="BE123">
        <v>3594885</v>
      </c>
      <c r="BF123">
        <v>3594885</v>
      </c>
      <c r="BG123">
        <v>3594885</v>
      </c>
      <c r="BH123">
        <v>11910</v>
      </c>
      <c r="BI123">
        <v>11910</v>
      </c>
      <c r="BJ123">
        <v>11910</v>
      </c>
      <c r="BK123">
        <v>0</v>
      </c>
      <c r="BL123">
        <v>5095</v>
      </c>
      <c r="BM123" t="b">
        <f t="shared" si="4"/>
        <v>1</v>
      </c>
      <c r="BN123" t="b">
        <f t="shared" si="5"/>
        <v>1</v>
      </c>
      <c r="BO123">
        <v>2106</v>
      </c>
      <c r="BP123">
        <v>2106</v>
      </c>
      <c r="BQ123">
        <v>2106</v>
      </c>
      <c r="BR123">
        <v>0</v>
      </c>
      <c r="BS123" t="b">
        <f t="shared" si="6"/>
        <v>1</v>
      </c>
      <c r="BT123" t="b">
        <f t="shared" si="7"/>
        <v>1</v>
      </c>
    </row>
    <row r="124" spans="1:72" x14ac:dyDescent="0.35">
      <c r="A124" t="s">
        <v>306</v>
      </c>
      <c r="B124" t="s">
        <v>307</v>
      </c>
      <c r="C124">
        <v>34884</v>
      </c>
      <c r="D124">
        <v>34884</v>
      </c>
      <c r="E124">
        <v>34884</v>
      </c>
      <c r="F124">
        <v>17025</v>
      </c>
      <c r="G124">
        <v>17025</v>
      </c>
      <c r="H124">
        <v>17025</v>
      </c>
      <c r="I124">
        <v>13802617</v>
      </c>
      <c r="J124">
        <v>13802617</v>
      </c>
      <c r="K124">
        <v>13802617</v>
      </c>
      <c r="L124">
        <v>17492633</v>
      </c>
      <c r="M124">
        <v>17492633</v>
      </c>
      <c r="N124">
        <v>17492633</v>
      </c>
      <c r="O124">
        <v>97722</v>
      </c>
      <c r="P124">
        <v>97722</v>
      </c>
      <c r="Q124">
        <v>97722</v>
      </c>
      <c r="R124">
        <v>3532</v>
      </c>
      <c r="S124">
        <v>3532</v>
      </c>
      <c r="T124">
        <v>3532</v>
      </c>
      <c r="U124">
        <v>58958</v>
      </c>
      <c r="V124">
        <v>58958</v>
      </c>
      <c r="W124">
        <v>58958</v>
      </c>
      <c r="AA124">
        <v>970</v>
      </c>
      <c r="AB124">
        <v>970</v>
      </c>
      <c r="AC124">
        <v>970</v>
      </c>
      <c r="AD124">
        <v>7114</v>
      </c>
      <c r="AE124">
        <v>7114</v>
      </c>
      <c r="AF124">
        <v>7114</v>
      </c>
      <c r="AP124">
        <v>5829905</v>
      </c>
      <c r="AQ124">
        <v>5829905</v>
      </c>
      <c r="AR124">
        <v>5829905</v>
      </c>
      <c r="AS124">
        <v>17394</v>
      </c>
      <c r="AT124">
        <v>17394</v>
      </c>
      <c r="AU124">
        <v>17394</v>
      </c>
      <c r="AV124">
        <v>5000</v>
      </c>
      <c r="AW124">
        <v>5000</v>
      </c>
      <c r="AX124">
        <v>5000</v>
      </c>
      <c r="AY124">
        <v>7671</v>
      </c>
      <c r="AZ124">
        <v>7671</v>
      </c>
      <c r="BA124">
        <v>7671</v>
      </c>
      <c r="BB124">
        <v>32329</v>
      </c>
      <c r="BC124">
        <v>32329</v>
      </c>
      <c r="BD124">
        <v>32329</v>
      </c>
      <c r="BE124">
        <v>226204</v>
      </c>
      <c r="BF124">
        <v>226204</v>
      </c>
      <c r="BG124">
        <v>226204</v>
      </c>
      <c r="BH124">
        <v>137847</v>
      </c>
      <c r="BI124">
        <v>137847</v>
      </c>
      <c r="BJ124">
        <v>137847</v>
      </c>
      <c r="BK124">
        <v>0</v>
      </c>
      <c r="BL124">
        <v>8247</v>
      </c>
      <c r="BM124" t="b">
        <f t="shared" si="4"/>
        <v>1</v>
      </c>
      <c r="BN124" t="b">
        <f t="shared" si="5"/>
        <v>1</v>
      </c>
      <c r="BO124">
        <v>40926</v>
      </c>
      <c r="BP124">
        <v>40926</v>
      </c>
      <c r="BQ124">
        <v>40926</v>
      </c>
      <c r="BR124">
        <v>0</v>
      </c>
      <c r="BS124" t="b">
        <f t="shared" si="6"/>
        <v>1</v>
      </c>
      <c r="BT124" t="b">
        <f t="shared" si="7"/>
        <v>1</v>
      </c>
    </row>
    <row r="125" spans="1:72" x14ac:dyDescent="0.35">
      <c r="A125" t="s">
        <v>308</v>
      </c>
      <c r="B125" t="s">
        <v>309</v>
      </c>
      <c r="C125">
        <v>81959</v>
      </c>
      <c r="E125">
        <v>81959</v>
      </c>
      <c r="F125">
        <v>120</v>
      </c>
      <c r="G125">
        <v>120</v>
      </c>
      <c r="H125">
        <v>120</v>
      </c>
      <c r="I125">
        <v>1953933</v>
      </c>
      <c r="J125">
        <v>1953933</v>
      </c>
      <c r="K125">
        <v>1953933</v>
      </c>
      <c r="L125">
        <v>2401644</v>
      </c>
      <c r="M125">
        <v>2401644</v>
      </c>
      <c r="N125">
        <v>2401644</v>
      </c>
      <c r="O125">
        <v>38770</v>
      </c>
      <c r="P125">
        <v>38770</v>
      </c>
      <c r="Q125">
        <v>38770</v>
      </c>
      <c r="R125">
        <v>1121128</v>
      </c>
      <c r="S125">
        <v>1121128</v>
      </c>
      <c r="T125">
        <v>1121128</v>
      </c>
      <c r="U125">
        <v>500</v>
      </c>
      <c r="V125">
        <v>500</v>
      </c>
      <c r="W125">
        <v>500</v>
      </c>
      <c r="AA125">
        <v>100</v>
      </c>
      <c r="AB125">
        <v>100</v>
      </c>
      <c r="AC125">
        <v>100</v>
      </c>
      <c r="AD125">
        <v>19000</v>
      </c>
      <c r="AE125">
        <v>19000</v>
      </c>
      <c r="AF125">
        <v>19000</v>
      </c>
      <c r="AG125">
        <v>1104512</v>
      </c>
      <c r="AI125">
        <v>1104512</v>
      </c>
      <c r="AP125">
        <v>1121128</v>
      </c>
      <c r="AQ125">
        <v>1121128</v>
      </c>
      <c r="AR125">
        <v>1121128</v>
      </c>
      <c r="AS125">
        <v>1981</v>
      </c>
      <c r="AT125">
        <v>1981</v>
      </c>
      <c r="AU125">
        <v>1981</v>
      </c>
      <c r="AY125">
        <v>9622</v>
      </c>
      <c r="BA125">
        <v>9622</v>
      </c>
      <c r="BB125">
        <v>11136</v>
      </c>
      <c r="BC125">
        <v>11136</v>
      </c>
      <c r="BD125">
        <v>11136</v>
      </c>
      <c r="BE125">
        <v>45</v>
      </c>
      <c r="BF125">
        <v>45</v>
      </c>
      <c r="BG125">
        <v>45</v>
      </c>
      <c r="BH125">
        <v>2640</v>
      </c>
      <c r="BI125">
        <v>2640</v>
      </c>
      <c r="BJ125">
        <v>2640</v>
      </c>
      <c r="BK125">
        <v>1</v>
      </c>
      <c r="BM125" t="b">
        <f t="shared" si="4"/>
        <v>0</v>
      </c>
      <c r="BN125" t="b">
        <f t="shared" si="5"/>
        <v>1</v>
      </c>
      <c r="BO125">
        <v>16925</v>
      </c>
      <c r="BP125">
        <v>16925</v>
      </c>
      <c r="BQ125">
        <v>16925</v>
      </c>
      <c r="BR125">
        <v>0</v>
      </c>
      <c r="BS125" t="b">
        <f t="shared" si="6"/>
        <v>1</v>
      </c>
      <c r="BT125" t="b">
        <f t="shared" si="7"/>
        <v>1</v>
      </c>
    </row>
    <row r="126" spans="1:72" x14ac:dyDescent="0.35">
      <c r="A126" t="s">
        <v>310</v>
      </c>
      <c r="B126" t="s">
        <v>311</v>
      </c>
      <c r="D126">
        <v>6908</v>
      </c>
      <c r="E126">
        <v>6908</v>
      </c>
      <c r="G126">
        <v>185</v>
      </c>
      <c r="H126">
        <v>185</v>
      </c>
      <c r="I126">
        <v>3449639</v>
      </c>
      <c r="J126">
        <v>3449639</v>
      </c>
      <c r="K126">
        <v>3449639</v>
      </c>
      <c r="L126">
        <v>2961192</v>
      </c>
      <c r="M126">
        <v>2961192</v>
      </c>
      <c r="N126">
        <v>2961192</v>
      </c>
      <c r="P126">
        <v>123227</v>
      </c>
      <c r="Q126">
        <v>123227</v>
      </c>
      <c r="S126">
        <v>208228</v>
      </c>
      <c r="T126">
        <v>208228</v>
      </c>
      <c r="V126">
        <v>766262</v>
      </c>
      <c r="W126">
        <v>766262</v>
      </c>
      <c r="AB126">
        <v>8260</v>
      </c>
      <c r="AC126">
        <v>8260</v>
      </c>
      <c r="AE126">
        <v>23010</v>
      </c>
      <c r="AF126">
        <v>23010</v>
      </c>
      <c r="AH126">
        <v>7188</v>
      </c>
      <c r="AI126">
        <v>7188</v>
      </c>
      <c r="AN126">
        <v>2500</v>
      </c>
      <c r="AO126">
        <v>2500</v>
      </c>
      <c r="AQ126">
        <v>484107</v>
      </c>
      <c r="AR126">
        <v>484107</v>
      </c>
      <c r="AT126">
        <v>9066</v>
      </c>
      <c r="AU126">
        <v>9066</v>
      </c>
      <c r="AW126">
        <v>433980</v>
      </c>
      <c r="AX126">
        <v>433980</v>
      </c>
      <c r="AZ126">
        <v>83536</v>
      </c>
      <c r="BA126">
        <v>83536</v>
      </c>
      <c r="BC126">
        <v>1300</v>
      </c>
      <c r="BD126">
        <v>1300</v>
      </c>
      <c r="BF126">
        <v>526292</v>
      </c>
      <c r="BG126">
        <v>526292</v>
      </c>
      <c r="BI126">
        <v>1350</v>
      </c>
      <c r="BJ126">
        <v>1350</v>
      </c>
      <c r="BM126" t="b">
        <f t="shared" si="4"/>
        <v>0</v>
      </c>
      <c r="BN126" t="b">
        <f t="shared" si="5"/>
        <v>0</v>
      </c>
      <c r="BP126">
        <v>1672</v>
      </c>
      <c r="BQ126">
        <v>1672</v>
      </c>
      <c r="BS126" t="b">
        <f t="shared" si="6"/>
        <v>1</v>
      </c>
      <c r="BT126" t="b">
        <f t="shared" si="7"/>
        <v>1</v>
      </c>
    </row>
    <row r="127" spans="1:72" x14ac:dyDescent="0.35">
      <c r="A127" t="s">
        <v>312</v>
      </c>
      <c r="B127" t="s">
        <v>313</v>
      </c>
      <c r="F127">
        <v>13</v>
      </c>
      <c r="G127">
        <v>13</v>
      </c>
      <c r="H127">
        <v>13</v>
      </c>
      <c r="J127">
        <v>6054794</v>
      </c>
      <c r="K127">
        <v>6054794</v>
      </c>
      <c r="M127">
        <v>717066</v>
      </c>
      <c r="N127">
        <v>717066</v>
      </c>
      <c r="BM127" t="b">
        <f t="shared" si="4"/>
        <v>0</v>
      </c>
      <c r="BN127" t="b">
        <f t="shared" si="5"/>
        <v>0</v>
      </c>
      <c r="BS127" t="b">
        <f t="shared" si="6"/>
        <v>0</v>
      </c>
      <c r="BT127" t="b">
        <f t="shared" si="7"/>
        <v>0</v>
      </c>
    </row>
    <row r="128" spans="1:72" x14ac:dyDescent="0.35">
      <c r="A128" t="s">
        <v>314</v>
      </c>
      <c r="B128" t="s">
        <v>315</v>
      </c>
      <c r="D128">
        <v>10102</v>
      </c>
      <c r="E128">
        <v>10102</v>
      </c>
      <c r="G128">
        <v>399</v>
      </c>
      <c r="H128">
        <v>399</v>
      </c>
      <c r="J128">
        <v>4389518</v>
      </c>
      <c r="K128">
        <v>4389518</v>
      </c>
      <c r="M128">
        <v>4303449</v>
      </c>
      <c r="N128">
        <v>4303449</v>
      </c>
      <c r="O128">
        <v>86574</v>
      </c>
      <c r="P128">
        <v>86574</v>
      </c>
      <c r="Q128">
        <v>86574</v>
      </c>
      <c r="R128">
        <v>4305388</v>
      </c>
      <c r="S128">
        <v>4305388</v>
      </c>
      <c r="T128">
        <v>4305388</v>
      </c>
      <c r="AA128">
        <v>58736</v>
      </c>
      <c r="AB128">
        <v>58736</v>
      </c>
      <c r="AC128">
        <v>58736</v>
      </c>
      <c r="AD128">
        <v>126526</v>
      </c>
      <c r="AE128">
        <v>126526</v>
      </c>
      <c r="AF128">
        <v>126526</v>
      </c>
      <c r="AG128">
        <v>86574</v>
      </c>
      <c r="AH128">
        <v>86574</v>
      </c>
      <c r="AI128">
        <v>86574</v>
      </c>
      <c r="AJ128">
        <v>86574</v>
      </c>
      <c r="AK128">
        <v>86574</v>
      </c>
      <c r="AL128">
        <v>86574</v>
      </c>
      <c r="AM128">
        <v>591164</v>
      </c>
      <c r="AN128">
        <v>591164</v>
      </c>
      <c r="AO128">
        <v>591164</v>
      </c>
      <c r="AP128">
        <v>1073050</v>
      </c>
      <c r="AQ128">
        <v>1073050</v>
      </c>
      <c r="AR128">
        <v>1073050</v>
      </c>
      <c r="AS128">
        <v>49113</v>
      </c>
      <c r="AT128">
        <v>49113</v>
      </c>
      <c r="AU128">
        <v>49113</v>
      </c>
      <c r="AV128">
        <v>198682</v>
      </c>
      <c r="AW128">
        <v>198682</v>
      </c>
      <c r="AX128">
        <v>198682</v>
      </c>
      <c r="AY128">
        <v>86574</v>
      </c>
      <c r="AZ128">
        <v>86574</v>
      </c>
      <c r="BA128">
        <v>86574</v>
      </c>
      <c r="BB128">
        <v>201840</v>
      </c>
      <c r="BC128">
        <v>201840</v>
      </c>
      <c r="BD128">
        <v>201840</v>
      </c>
      <c r="BE128">
        <v>16680</v>
      </c>
      <c r="BF128">
        <v>16680</v>
      </c>
      <c r="BG128">
        <v>16680</v>
      </c>
      <c r="BK128">
        <v>0</v>
      </c>
      <c r="BL128">
        <v>800</v>
      </c>
      <c r="BM128" t="b">
        <f t="shared" si="4"/>
        <v>1</v>
      </c>
      <c r="BN128" t="b">
        <f t="shared" si="5"/>
        <v>1</v>
      </c>
      <c r="BO128">
        <v>2654</v>
      </c>
      <c r="BP128">
        <v>2654</v>
      </c>
      <c r="BQ128">
        <v>2654</v>
      </c>
      <c r="BR128">
        <v>0</v>
      </c>
      <c r="BS128" t="b">
        <f t="shared" si="6"/>
        <v>1</v>
      </c>
      <c r="BT128" t="b">
        <f t="shared" si="7"/>
        <v>1</v>
      </c>
    </row>
    <row r="129" spans="1:72" x14ac:dyDescent="0.35">
      <c r="A129" t="s">
        <v>316</v>
      </c>
      <c r="B129" t="s">
        <v>317</v>
      </c>
      <c r="D129">
        <v>800000</v>
      </c>
      <c r="E129">
        <v>800000</v>
      </c>
      <c r="G129">
        <v>500</v>
      </c>
      <c r="H129">
        <v>500</v>
      </c>
      <c r="J129">
        <v>3031970</v>
      </c>
      <c r="K129">
        <v>3031970</v>
      </c>
      <c r="M129">
        <v>2384266</v>
      </c>
      <c r="N129">
        <v>2384266</v>
      </c>
      <c r="P129">
        <v>7503668</v>
      </c>
      <c r="Q129">
        <v>7503668</v>
      </c>
      <c r="S129">
        <v>40718</v>
      </c>
      <c r="T129">
        <v>40718</v>
      </c>
      <c r="V129">
        <v>65377</v>
      </c>
      <c r="W129">
        <v>65377</v>
      </c>
      <c r="AB129">
        <v>31508</v>
      </c>
      <c r="AC129">
        <v>31508</v>
      </c>
      <c r="AE129">
        <v>61870</v>
      </c>
      <c r="AF129">
        <v>61870</v>
      </c>
      <c r="AH129">
        <v>788</v>
      </c>
      <c r="AI129">
        <v>788</v>
      </c>
      <c r="AK129">
        <v>281</v>
      </c>
      <c r="AL129">
        <v>281</v>
      </c>
      <c r="AN129">
        <v>69399</v>
      </c>
      <c r="AO129">
        <v>69399</v>
      </c>
      <c r="AQ129">
        <v>9975213</v>
      </c>
      <c r="AR129">
        <v>9975213</v>
      </c>
      <c r="AT129">
        <v>81998</v>
      </c>
      <c r="AU129">
        <v>81998</v>
      </c>
      <c r="AW129">
        <v>7125204</v>
      </c>
      <c r="AX129">
        <v>7125204</v>
      </c>
      <c r="AZ129">
        <v>1845525</v>
      </c>
      <c r="BA129">
        <v>1845525</v>
      </c>
      <c r="BC129">
        <v>347</v>
      </c>
      <c r="BD129">
        <v>347</v>
      </c>
      <c r="BF129">
        <v>63810</v>
      </c>
      <c r="BG129">
        <v>63810</v>
      </c>
      <c r="BM129" t="b">
        <f t="shared" si="4"/>
        <v>0</v>
      </c>
      <c r="BN129" t="b">
        <f t="shared" si="5"/>
        <v>0</v>
      </c>
      <c r="BP129">
        <v>18410</v>
      </c>
      <c r="BQ129">
        <v>18410</v>
      </c>
      <c r="BS129" t="b">
        <f t="shared" si="6"/>
        <v>1</v>
      </c>
      <c r="BT129" t="b">
        <f t="shared" si="7"/>
        <v>1</v>
      </c>
    </row>
    <row r="130" spans="1:72" x14ac:dyDescent="0.35">
      <c r="A130" t="s">
        <v>318</v>
      </c>
      <c r="B130" t="s">
        <v>319</v>
      </c>
      <c r="D130">
        <v>2000</v>
      </c>
      <c r="E130">
        <v>2000</v>
      </c>
      <c r="G130">
        <v>294</v>
      </c>
      <c r="H130">
        <v>294</v>
      </c>
      <c r="J130">
        <v>142186</v>
      </c>
      <c r="K130">
        <v>142186</v>
      </c>
      <c r="M130">
        <v>133854</v>
      </c>
      <c r="N130">
        <v>133854</v>
      </c>
      <c r="P130">
        <v>35379</v>
      </c>
      <c r="Q130">
        <v>35379</v>
      </c>
      <c r="S130">
        <v>302448</v>
      </c>
      <c r="T130">
        <v>302448</v>
      </c>
      <c r="V130">
        <v>2183</v>
      </c>
      <c r="W130">
        <v>2183</v>
      </c>
      <c r="AB130">
        <v>8113</v>
      </c>
      <c r="AC130">
        <v>8113</v>
      </c>
      <c r="AE130">
        <v>668</v>
      </c>
      <c r="AF130">
        <v>668</v>
      </c>
      <c r="AH130">
        <v>727</v>
      </c>
      <c r="AI130">
        <v>727</v>
      </c>
      <c r="AN130">
        <v>834</v>
      </c>
      <c r="AO130">
        <v>834</v>
      </c>
      <c r="AQ130">
        <v>20124</v>
      </c>
      <c r="AR130">
        <v>20124</v>
      </c>
      <c r="AT130">
        <v>2167</v>
      </c>
      <c r="AU130">
        <v>2167</v>
      </c>
      <c r="AW130">
        <v>2859264</v>
      </c>
      <c r="AX130">
        <v>2859264</v>
      </c>
      <c r="AZ130">
        <v>9175</v>
      </c>
      <c r="BA130">
        <v>9175</v>
      </c>
      <c r="BM130" t="b">
        <f t="shared" si="4"/>
        <v>0</v>
      </c>
      <c r="BN130" t="b">
        <f t="shared" si="5"/>
        <v>0</v>
      </c>
      <c r="BP130">
        <v>398</v>
      </c>
      <c r="BQ130">
        <v>398</v>
      </c>
      <c r="BS130" t="b">
        <f t="shared" si="6"/>
        <v>1</v>
      </c>
      <c r="BT130" t="b">
        <f t="shared" si="7"/>
        <v>1</v>
      </c>
    </row>
    <row r="131" spans="1:72" x14ac:dyDescent="0.35">
      <c r="A131" t="s">
        <v>320</v>
      </c>
      <c r="B131" t="s">
        <v>321</v>
      </c>
      <c r="D131">
        <v>7442</v>
      </c>
      <c r="E131">
        <v>7442</v>
      </c>
      <c r="G131">
        <v>754</v>
      </c>
      <c r="H131">
        <v>754</v>
      </c>
      <c r="I131">
        <v>214633740</v>
      </c>
      <c r="J131">
        <v>180931076</v>
      </c>
      <c r="K131">
        <v>214633740</v>
      </c>
      <c r="L131">
        <v>211989644</v>
      </c>
      <c r="M131">
        <v>176711199</v>
      </c>
      <c r="N131">
        <v>211989644</v>
      </c>
      <c r="P131">
        <v>1299008</v>
      </c>
      <c r="Q131">
        <v>1299008</v>
      </c>
      <c r="S131">
        <v>879635</v>
      </c>
      <c r="T131">
        <v>879635</v>
      </c>
      <c r="AB131">
        <v>22227</v>
      </c>
      <c r="AC131">
        <v>22227</v>
      </c>
      <c r="AK131">
        <v>415685</v>
      </c>
      <c r="AL131">
        <v>415685</v>
      </c>
      <c r="AN131">
        <v>14000</v>
      </c>
      <c r="AO131">
        <v>14000</v>
      </c>
      <c r="AQ131">
        <v>1253164</v>
      </c>
      <c r="AR131">
        <v>1253164</v>
      </c>
      <c r="AT131">
        <v>122200</v>
      </c>
      <c r="AU131">
        <v>122200</v>
      </c>
      <c r="BC131">
        <v>23227</v>
      </c>
      <c r="BD131">
        <v>23227</v>
      </c>
      <c r="BM131" t="b">
        <f t="shared" ref="BM131:BM192" si="8">BL131&gt;0</f>
        <v>0</v>
      </c>
      <c r="BN131" t="b">
        <f t="shared" ref="BN131:BN192" si="9">OR(BK131,BM131)</f>
        <v>0</v>
      </c>
      <c r="BP131">
        <v>90746</v>
      </c>
      <c r="BQ131">
        <v>90746</v>
      </c>
      <c r="BS131" t="b">
        <f t="shared" ref="BS131:BS192" si="10">BQ131&gt;0</f>
        <v>1</v>
      </c>
      <c r="BT131" t="b">
        <f t="shared" ref="BT131:BT192" si="11">OR(BS131,BR131)</f>
        <v>1</v>
      </c>
    </row>
    <row r="132" spans="1:72" x14ac:dyDescent="0.35">
      <c r="A132" t="s">
        <v>322</v>
      </c>
      <c r="B132" t="s">
        <v>323</v>
      </c>
      <c r="C132">
        <v>39415</v>
      </c>
      <c r="D132">
        <v>39415</v>
      </c>
      <c r="E132">
        <v>39415</v>
      </c>
      <c r="F132">
        <v>878</v>
      </c>
      <c r="H132">
        <v>878</v>
      </c>
      <c r="I132">
        <v>234554771</v>
      </c>
      <c r="K132">
        <v>234554771</v>
      </c>
      <c r="L132">
        <v>182705949</v>
      </c>
      <c r="N132">
        <v>182705949</v>
      </c>
      <c r="O132">
        <v>2215</v>
      </c>
      <c r="P132">
        <v>2215</v>
      </c>
      <c r="Q132">
        <v>2215</v>
      </c>
      <c r="R132">
        <v>325506</v>
      </c>
      <c r="S132">
        <v>325506</v>
      </c>
      <c r="T132">
        <v>325506</v>
      </c>
      <c r="AP132">
        <v>99826</v>
      </c>
      <c r="AQ132">
        <v>99826</v>
      </c>
      <c r="AR132">
        <v>99826</v>
      </c>
      <c r="AS132">
        <v>97611</v>
      </c>
      <c r="AT132">
        <v>97611</v>
      </c>
      <c r="AU132">
        <v>97611</v>
      </c>
      <c r="BB132">
        <v>93598</v>
      </c>
      <c r="BD132">
        <v>93598</v>
      </c>
      <c r="BE132">
        <v>128551</v>
      </c>
      <c r="BF132">
        <v>128551</v>
      </c>
      <c r="BG132">
        <v>128551</v>
      </c>
      <c r="BK132">
        <v>1</v>
      </c>
      <c r="BM132" t="b">
        <f t="shared" si="8"/>
        <v>0</v>
      </c>
      <c r="BN132" t="b">
        <f t="shared" si="9"/>
        <v>1</v>
      </c>
      <c r="BO132">
        <v>63915</v>
      </c>
      <c r="BP132">
        <v>63915</v>
      </c>
      <c r="BQ132">
        <v>63915</v>
      </c>
      <c r="BR132">
        <v>0</v>
      </c>
      <c r="BS132" t="b">
        <f t="shared" si="10"/>
        <v>1</v>
      </c>
      <c r="BT132" t="b">
        <f t="shared" si="11"/>
        <v>1</v>
      </c>
    </row>
    <row r="133" spans="1:72" x14ac:dyDescent="0.35">
      <c r="A133" t="s">
        <v>324</v>
      </c>
      <c r="B133" t="s">
        <v>325</v>
      </c>
      <c r="C133">
        <v>89863</v>
      </c>
      <c r="D133">
        <v>89863</v>
      </c>
      <c r="E133">
        <v>89863</v>
      </c>
      <c r="F133">
        <v>343</v>
      </c>
      <c r="G133">
        <v>343</v>
      </c>
      <c r="H133">
        <v>343</v>
      </c>
      <c r="I133">
        <v>12396631</v>
      </c>
      <c r="J133">
        <v>12396631</v>
      </c>
      <c r="K133">
        <v>12396631</v>
      </c>
      <c r="L133">
        <v>12442806</v>
      </c>
      <c r="M133">
        <v>12442806</v>
      </c>
      <c r="N133">
        <v>12442806</v>
      </c>
      <c r="O133">
        <v>341323</v>
      </c>
      <c r="P133">
        <v>341323</v>
      </c>
      <c r="Q133">
        <v>341323</v>
      </c>
      <c r="R133">
        <v>1242178</v>
      </c>
      <c r="S133">
        <v>1242178</v>
      </c>
      <c r="T133">
        <v>1242178</v>
      </c>
      <c r="U133">
        <v>137473</v>
      </c>
      <c r="V133">
        <v>137473</v>
      </c>
      <c r="W133">
        <v>137473</v>
      </c>
      <c r="AA133">
        <v>9153</v>
      </c>
      <c r="AB133">
        <v>9153</v>
      </c>
      <c r="AC133">
        <v>9153</v>
      </c>
      <c r="AD133">
        <v>3519</v>
      </c>
      <c r="AE133">
        <v>3519</v>
      </c>
      <c r="AF133">
        <v>3519</v>
      </c>
      <c r="AG133">
        <v>62493</v>
      </c>
      <c r="AI133">
        <v>62493</v>
      </c>
      <c r="AJ133">
        <v>37713</v>
      </c>
      <c r="AL133">
        <v>37713</v>
      </c>
      <c r="AM133">
        <v>52036</v>
      </c>
      <c r="AN133">
        <v>52036</v>
      </c>
      <c r="AO133">
        <v>52036</v>
      </c>
      <c r="AP133">
        <v>653081</v>
      </c>
      <c r="AQ133">
        <v>653081</v>
      </c>
      <c r="AR133">
        <v>653081</v>
      </c>
      <c r="AS133">
        <v>35265</v>
      </c>
      <c r="AT133">
        <v>35265</v>
      </c>
      <c r="AU133">
        <v>35265</v>
      </c>
      <c r="AY133">
        <v>108816</v>
      </c>
      <c r="AZ133">
        <v>108816</v>
      </c>
      <c r="BA133">
        <v>108816</v>
      </c>
      <c r="BB133">
        <v>1295</v>
      </c>
      <c r="BC133">
        <v>1295</v>
      </c>
      <c r="BD133">
        <v>1295</v>
      </c>
      <c r="BE133">
        <v>25857</v>
      </c>
      <c r="BF133">
        <v>25857</v>
      </c>
      <c r="BG133">
        <v>25857</v>
      </c>
      <c r="BH133">
        <v>109068</v>
      </c>
      <c r="BI133">
        <v>109068</v>
      </c>
      <c r="BJ133">
        <v>109068</v>
      </c>
      <c r="BK133">
        <v>0</v>
      </c>
      <c r="BL133">
        <v>294850</v>
      </c>
      <c r="BM133" t="b">
        <f t="shared" si="8"/>
        <v>1</v>
      </c>
      <c r="BN133" t="b">
        <f t="shared" si="9"/>
        <v>1</v>
      </c>
      <c r="BO133">
        <v>2002</v>
      </c>
      <c r="BP133">
        <v>2002</v>
      </c>
      <c r="BQ133">
        <v>2002</v>
      </c>
      <c r="BR133">
        <v>0</v>
      </c>
      <c r="BS133" t="b">
        <f t="shared" si="10"/>
        <v>1</v>
      </c>
      <c r="BT133" t="b">
        <f t="shared" si="11"/>
        <v>1</v>
      </c>
    </row>
    <row r="134" spans="1:72" x14ac:dyDescent="0.35">
      <c r="A134" t="s">
        <v>326</v>
      </c>
      <c r="B134" t="s">
        <v>327</v>
      </c>
      <c r="C134">
        <v>6094</v>
      </c>
      <c r="D134">
        <v>6094</v>
      </c>
      <c r="E134">
        <v>6094</v>
      </c>
      <c r="F134">
        <v>550</v>
      </c>
      <c r="G134">
        <v>550</v>
      </c>
      <c r="H134">
        <v>550</v>
      </c>
      <c r="I134">
        <v>29240267</v>
      </c>
      <c r="J134">
        <v>29240267</v>
      </c>
      <c r="K134">
        <v>29240267</v>
      </c>
      <c r="L134">
        <v>39663885</v>
      </c>
      <c r="M134">
        <v>39663885</v>
      </c>
      <c r="N134">
        <v>39663885</v>
      </c>
      <c r="O134">
        <v>12724</v>
      </c>
      <c r="P134">
        <v>12724</v>
      </c>
      <c r="Q134">
        <v>12724</v>
      </c>
      <c r="R134">
        <v>111302</v>
      </c>
      <c r="S134">
        <v>111302</v>
      </c>
      <c r="T134">
        <v>111302</v>
      </c>
      <c r="U134">
        <v>30606</v>
      </c>
      <c r="V134">
        <v>30606</v>
      </c>
      <c r="W134">
        <v>30606</v>
      </c>
      <c r="AA134">
        <v>2201</v>
      </c>
      <c r="AB134">
        <v>2201</v>
      </c>
      <c r="AC134">
        <v>2201</v>
      </c>
      <c r="AD134">
        <v>8830</v>
      </c>
      <c r="AE134">
        <v>8830</v>
      </c>
      <c r="AF134">
        <v>8830</v>
      </c>
      <c r="AP134">
        <v>73996</v>
      </c>
      <c r="AQ134">
        <v>73996</v>
      </c>
      <c r="AR134">
        <v>73996</v>
      </c>
      <c r="AS134">
        <v>5348</v>
      </c>
      <c r="AT134">
        <v>5348</v>
      </c>
      <c r="AU134">
        <v>5348</v>
      </c>
      <c r="AY134">
        <v>1500</v>
      </c>
      <c r="AZ134">
        <v>1500</v>
      </c>
      <c r="BA134">
        <v>1500</v>
      </c>
      <c r="BB134">
        <v>2830</v>
      </c>
      <c r="BC134">
        <v>2830</v>
      </c>
      <c r="BD134">
        <v>2830</v>
      </c>
      <c r="BE134">
        <v>1778</v>
      </c>
      <c r="BF134">
        <v>1778</v>
      </c>
      <c r="BG134">
        <v>1778</v>
      </c>
      <c r="BK134">
        <v>1</v>
      </c>
      <c r="BM134" t="b">
        <f t="shared" si="8"/>
        <v>0</v>
      </c>
      <c r="BN134" t="b">
        <f t="shared" si="9"/>
        <v>1</v>
      </c>
      <c r="BO134">
        <v>68648</v>
      </c>
      <c r="BP134">
        <v>68648</v>
      </c>
      <c r="BQ134">
        <v>68648</v>
      </c>
      <c r="BR134">
        <v>0</v>
      </c>
      <c r="BS134" t="b">
        <f t="shared" si="10"/>
        <v>1</v>
      </c>
      <c r="BT134" t="b">
        <f t="shared" si="11"/>
        <v>1</v>
      </c>
    </row>
    <row r="135" spans="1:72" x14ac:dyDescent="0.35">
      <c r="A135" t="s">
        <v>328</v>
      </c>
      <c r="B135" t="s">
        <v>329</v>
      </c>
      <c r="D135">
        <v>1300</v>
      </c>
      <c r="E135">
        <v>1300</v>
      </c>
      <c r="G135">
        <v>132</v>
      </c>
      <c r="H135">
        <v>132</v>
      </c>
      <c r="J135">
        <v>3942134</v>
      </c>
      <c r="K135">
        <v>3942134</v>
      </c>
      <c r="M135">
        <v>4002961</v>
      </c>
      <c r="N135">
        <v>4002961</v>
      </c>
      <c r="P135">
        <v>636824</v>
      </c>
      <c r="Q135">
        <v>636824</v>
      </c>
      <c r="S135">
        <v>25700</v>
      </c>
      <c r="T135">
        <v>25700</v>
      </c>
      <c r="V135">
        <v>3899</v>
      </c>
      <c r="W135">
        <v>3899</v>
      </c>
      <c r="AB135">
        <v>9571</v>
      </c>
      <c r="AC135">
        <v>9571</v>
      </c>
      <c r="AE135">
        <v>4100</v>
      </c>
      <c r="AF135">
        <v>4100</v>
      </c>
      <c r="AH135">
        <v>120</v>
      </c>
      <c r="AI135">
        <v>120</v>
      </c>
      <c r="AN135">
        <v>2745</v>
      </c>
      <c r="AO135">
        <v>2745</v>
      </c>
      <c r="AQ135">
        <v>127694</v>
      </c>
      <c r="AR135">
        <v>127694</v>
      </c>
      <c r="AT135">
        <v>2469</v>
      </c>
      <c r="AU135">
        <v>2469</v>
      </c>
      <c r="AW135">
        <v>785364</v>
      </c>
      <c r="AX135">
        <v>785364</v>
      </c>
      <c r="AZ135">
        <v>37211</v>
      </c>
      <c r="BA135">
        <v>37211</v>
      </c>
      <c r="BC135">
        <v>100534</v>
      </c>
      <c r="BD135">
        <v>100534</v>
      </c>
      <c r="BF135">
        <v>37047</v>
      </c>
      <c r="BG135">
        <v>37047</v>
      </c>
      <c r="BI135">
        <v>2353</v>
      </c>
      <c r="BJ135">
        <v>2353</v>
      </c>
      <c r="BM135" t="b">
        <f t="shared" si="8"/>
        <v>0</v>
      </c>
      <c r="BN135" t="b">
        <f t="shared" si="9"/>
        <v>0</v>
      </c>
      <c r="BP135">
        <v>1690</v>
      </c>
      <c r="BQ135">
        <v>1690</v>
      </c>
      <c r="BS135" t="b">
        <f t="shared" si="10"/>
        <v>1</v>
      </c>
      <c r="BT135" t="b">
        <f t="shared" si="11"/>
        <v>1</v>
      </c>
    </row>
    <row r="136" spans="1:72" x14ac:dyDescent="0.35">
      <c r="A136" t="s">
        <v>330</v>
      </c>
      <c r="B136" t="s">
        <v>331</v>
      </c>
      <c r="D136">
        <v>2641</v>
      </c>
      <c r="E136">
        <v>2641</v>
      </c>
      <c r="G136">
        <v>152</v>
      </c>
      <c r="H136">
        <v>152</v>
      </c>
      <c r="J136">
        <v>564263</v>
      </c>
      <c r="K136">
        <v>564263</v>
      </c>
      <c r="M136">
        <v>1394199</v>
      </c>
      <c r="N136">
        <v>1394199</v>
      </c>
      <c r="AE136">
        <v>273000</v>
      </c>
      <c r="AF136">
        <v>273000</v>
      </c>
      <c r="AQ136">
        <v>9346</v>
      </c>
      <c r="AR136">
        <v>9346</v>
      </c>
      <c r="AT136">
        <v>342</v>
      </c>
      <c r="AU136">
        <v>342</v>
      </c>
      <c r="AW136">
        <v>1296865</v>
      </c>
      <c r="AX136">
        <v>1296865</v>
      </c>
      <c r="AZ136">
        <v>258000</v>
      </c>
      <c r="BA136">
        <v>258000</v>
      </c>
      <c r="BC136">
        <v>32461</v>
      </c>
      <c r="BD136">
        <v>32461</v>
      </c>
      <c r="BM136" t="b">
        <f t="shared" si="8"/>
        <v>0</v>
      </c>
      <c r="BN136" t="b">
        <f t="shared" si="9"/>
        <v>0</v>
      </c>
      <c r="BS136" t="b">
        <f t="shared" si="10"/>
        <v>0</v>
      </c>
      <c r="BT136" t="b">
        <f t="shared" si="11"/>
        <v>0</v>
      </c>
    </row>
    <row r="137" spans="1:72" x14ac:dyDescent="0.35">
      <c r="A137" t="s">
        <v>332</v>
      </c>
      <c r="B137" t="s">
        <v>333</v>
      </c>
      <c r="C137">
        <v>862</v>
      </c>
      <c r="D137">
        <v>862</v>
      </c>
      <c r="E137">
        <v>862</v>
      </c>
      <c r="F137">
        <v>32</v>
      </c>
      <c r="G137">
        <v>32</v>
      </c>
      <c r="H137">
        <v>32</v>
      </c>
      <c r="I137">
        <v>688130</v>
      </c>
      <c r="J137">
        <v>688130</v>
      </c>
      <c r="K137">
        <v>688130</v>
      </c>
      <c r="L137">
        <v>467092</v>
      </c>
      <c r="M137">
        <v>467092</v>
      </c>
      <c r="N137">
        <v>467092</v>
      </c>
      <c r="O137">
        <v>8821</v>
      </c>
      <c r="P137">
        <v>8821</v>
      </c>
      <c r="Q137">
        <v>8821</v>
      </c>
      <c r="R137">
        <v>3398</v>
      </c>
      <c r="S137">
        <v>3398</v>
      </c>
      <c r="T137">
        <v>3398</v>
      </c>
      <c r="U137">
        <v>2065</v>
      </c>
      <c r="V137">
        <v>2065</v>
      </c>
      <c r="W137">
        <v>2065</v>
      </c>
      <c r="AG137">
        <v>1050</v>
      </c>
      <c r="AI137">
        <v>1050</v>
      </c>
      <c r="AP137">
        <v>1398</v>
      </c>
      <c r="AQ137">
        <v>1398</v>
      </c>
      <c r="AR137">
        <v>1398</v>
      </c>
      <c r="AS137">
        <v>2048</v>
      </c>
      <c r="AT137">
        <v>2048</v>
      </c>
      <c r="AU137">
        <v>2048</v>
      </c>
      <c r="AY137">
        <v>2565</v>
      </c>
      <c r="AZ137">
        <v>2565</v>
      </c>
      <c r="BA137">
        <v>2565</v>
      </c>
      <c r="BE137">
        <v>10856</v>
      </c>
      <c r="BF137">
        <v>10856</v>
      </c>
      <c r="BG137">
        <v>10856</v>
      </c>
      <c r="BH137">
        <v>60</v>
      </c>
      <c r="BI137">
        <v>60</v>
      </c>
      <c r="BJ137">
        <v>60</v>
      </c>
      <c r="BK137">
        <v>1</v>
      </c>
      <c r="BM137" t="b">
        <f t="shared" si="8"/>
        <v>0</v>
      </c>
      <c r="BN137" t="b">
        <f t="shared" si="9"/>
        <v>1</v>
      </c>
      <c r="BO137">
        <v>1398</v>
      </c>
      <c r="BP137">
        <v>1398</v>
      </c>
      <c r="BQ137">
        <v>1398</v>
      </c>
      <c r="BR137">
        <v>0</v>
      </c>
      <c r="BS137" t="b">
        <f t="shared" si="10"/>
        <v>1</v>
      </c>
      <c r="BT137" t="b">
        <f t="shared" si="11"/>
        <v>1</v>
      </c>
    </row>
    <row r="138" spans="1:72" x14ac:dyDescent="0.35">
      <c r="A138" t="s">
        <v>334</v>
      </c>
      <c r="B138" t="s">
        <v>335</v>
      </c>
      <c r="D138">
        <v>17461</v>
      </c>
      <c r="E138">
        <v>17461</v>
      </c>
      <c r="G138">
        <v>1765</v>
      </c>
      <c r="H138">
        <v>1765</v>
      </c>
      <c r="J138">
        <v>31460924</v>
      </c>
      <c r="K138">
        <v>31460924</v>
      </c>
      <c r="M138">
        <v>28803264</v>
      </c>
      <c r="N138">
        <v>28803264</v>
      </c>
      <c r="P138">
        <v>2604</v>
      </c>
      <c r="Q138">
        <v>2604</v>
      </c>
      <c r="V138">
        <v>19643</v>
      </c>
      <c r="W138">
        <v>19643</v>
      </c>
      <c r="AB138">
        <v>12325</v>
      </c>
      <c r="AC138">
        <v>12325</v>
      </c>
      <c r="AE138">
        <v>5000</v>
      </c>
      <c r="AF138">
        <v>5000</v>
      </c>
      <c r="AH138">
        <v>294000</v>
      </c>
      <c r="AI138">
        <v>294000</v>
      </c>
      <c r="AK138">
        <v>75758</v>
      </c>
      <c r="AL138">
        <v>75758</v>
      </c>
      <c r="AQ138">
        <v>581719</v>
      </c>
      <c r="AR138">
        <v>581719</v>
      </c>
      <c r="AT138">
        <v>87723</v>
      </c>
      <c r="AU138">
        <v>87723</v>
      </c>
      <c r="AZ138">
        <v>85956</v>
      </c>
      <c r="BA138">
        <v>85956</v>
      </c>
      <c r="BF138">
        <v>27745</v>
      </c>
      <c r="BG138">
        <v>27745</v>
      </c>
      <c r="BM138" t="b">
        <f t="shared" si="8"/>
        <v>0</v>
      </c>
      <c r="BN138" t="b">
        <f t="shared" si="9"/>
        <v>0</v>
      </c>
      <c r="BP138">
        <v>173948</v>
      </c>
      <c r="BQ138">
        <v>173948</v>
      </c>
      <c r="BS138" t="b">
        <f t="shared" si="10"/>
        <v>1</v>
      </c>
      <c r="BT138" t="b">
        <f t="shared" si="11"/>
        <v>1</v>
      </c>
    </row>
    <row r="139" spans="1:72" x14ac:dyDescent="0.35">
      <c r="A139" t="s">
        <v>336</v>
      </c>
      <c r="B139" t="s">
        <v>337</v>
      </c>
      <c r="C139">
        <v>5000</v>
      </c>
      <c r="D139">
        <v>5000</v>
      </c>
      <c r="E139">
        <v>5000</v>
      </c>
      <c r="F139">
        <v>190</v>
      </c>
      <c r="G139">
        <v>190</v>
      </c>
      <c r="H139">
        <v>190</v>
      </c>
      <c r="J139">
        <v>12531786</v>
      </c>
      <c r="K139">
        <v>12531786</v>
      </c>
      <c r="M139">
        <v>13344744</v>
      </c>
      <c r="N139">
        <v>13344744</v>
      </c>
      <c r="P139">
        <v>198100</v>
      </c>
      <c r="Q139">
        <v>198100</v>
      </c>
      <c r="S139">
        <v>656852</v>
      </c>
      <c r="T139">
        <v>656852</v>
      </c>
      <c r="V139">
        <v>21254</v>
      </c>
      <c r="W139">
        <v>21254</v>
      </c>
      <c r="AB139">
        <v>31522</v>
      </c>
      <c r="AC139">
        <v>31522</v>
      </c>
      <c r="AE139">
        <v>44320</v>
      </c>
      <c r="AF139">
        <v>44320</v>
      </c>
      <c r="AH139">
        <v>31038</v>
      </c>
      <c r="AI139">
        <v>31038</v>
      </c>
      <c r="AK139">
        <v>36882</v>
      </c>
      <c r="AL139">
        <v>36882</v>
      </c>
      <c r="AN139">
        <v>224580</v>
      </c>
      <c r="AO139">
        <v>224580</v>
      </c>
      <c r="AQ139">
        <v>456048</v>
      </c>
      <c r="AR139">
        <v>456048</v>
      </c>
      <c r="AT139">
        <v>264454</v>
      </c>
      <c r="AU139">
        <v>264454</v>
      </c>
      <c r="AW139">
        <v>20727</v>
      </c>
      <c r="AX139">
        <v>20727</v>
      </c>
      <c r="AZ139">
        <v>69060</v>
      </c>
      <c r="BA139">
        <v>69060</v>
      </c>
      <c r="BC139">
        <v>78</v>
      </c>
      <c r="BD139">
        <v>78</v>
      </c>
      <c r="BF139">
        <v>11095</v>
      </c>
      <c r="BG139">
        <v>11095</v>
      </c>
      <c r="BI139">
        <v>25875</v>
      </c>
      <c r="BJ139">
        <v>25875</v>
      </c>
      <c r="BM139" t="b">
        <f t="shared" si="8"/>
        <v>0</v>
      </c>
      <c r="BN139" t="b">
        <f t="shared" si="9"/>
        <v>0</v>
      </c>
      <c r="BP139">
        <v>6956</v>
      </c>
      <c r="BQ139">
        <v>6956</v>
      </c>
      <c r="BS139" t="b">
        <f t="shared" si="10"/>
        <v>1</v>
      </c>
      <c r="BT139" t="b">
        <f t="shared" si="11"/>
        <v>1</v>
      </c>
    </row>
    <row r="140" spans="1:72" x14ac:dyDescent="0.35">
      <c r="A140" t="s">
        <v>338</v>
      </c>
      <c r="B140" t="s">
        <v>339</v>
      </c>
      <c r="D140">
        <v>1771</v>
      </c>
      <c r="E140">
        <v>1771</v>
      </c>
      <c r="G140">
        <v>6173</v>
      </c>
      <c r="H140">
        <v>6173</v>
      </c>
      <c r="J140">
        <v>68647354</v>
      </c>
      <c r="K140">
        <v>68647354</v>
      </c>
      <c r="M140">
        <v>65150399</v>
      </c>
      <c r="N140">
        <v>65150399</v>
      </c>
      <c r="P140">
        <v>326</v>
      </c>
      <c r="Q140">
        <v>326</v>
      </c>
      <c r="S140">
        <v>111320</v>
      </c>
      <c r="T140">
        <v>111320</v>
      </c>
      <c r="V140">
        <v>7493</v>
      </c>
      <c r="W140">
        <v>7493</v>
      </c>
      <c r="AB140">
        <v>811</v>
      </c>
      <c r="AC140">
        <v>811</v>
      </c>
      <c r="AE140">
        <v>27320</v>
      </c>
      <c r="AF140">
        <v>27320</v>
      </c>
      <c r="AN140">
        <v>30305</v>
      </c>
      <c r="AO140">
        <v>30305</v>
      </c>
      <c r="AQ140">
        <v>132364</v>
      </c>
      <c r="AR140">
        <v>132364</v>
      </c>
      <c r="AT140">
        <v>20274</v>
      </c>
      <c r="AU140">
        <v>20274</v>
      </c>
      <c r="AZ140">
        <v>9183</v>
      </c>
      <c r="BA140">
        <v>9183</v>
      </c>
      <c r="BC140">
        <v>493599</v>
      </c>
      <c r="BD140">
        <v>493599</v>
      </c>
      <c r="BF140">
        <v>3465</v>
      </c>
      <c r="BG140">
        <v>3465</v>
      </c>
      <c r="BI140">
        <v>3185</v>
      </c>
      <c r="BJ140">
        <v>3185</v>
      </c>
      <c r="BM140" t="b">
        <f t="shared" si="8"/>
        <v>0</v>
      </c>
      <c r="BN140" t="b">
        <f t="shared" si="9"/>
        <v>0</v>
      </c>
      <c r="BP140">
        <v>14059</v>
      </c>
      <c r="BQ140">
        <v>14059</v>
      </c>
      <c r="BS140" t="b">
        <f t="shared" si="10"/>
        <v>1</v>
      </c>
      <c r="BT140" t="b">
        <f t="shared" si="11"/>
        <v>1</v>
      </c>
    </row>
    <row r="141" spans="1:72" x14ac:dyDescent="0.35">
      <c r="A141" t="s">
        <v>340</v>
      </c>
      <c r="B141" t="s">
        <v>341</v>
      </c>
      <c r="C141">
        <v>9187</v>
      </c>
      <c r="D141">
        <v>9187</v>
      </c>
      <c r="E141">
        <v>9187</v>
      </c>
      <c r="F141">
        <v>4259</v>
      </c>
      <c r="G141">
        <v>4259</v>
      </c>
      <c r="H141">
        <v>4259</v>
      </c>
      <c r="I141">
        <v>47368793</v>
      </c>
      <c r="J141">
        <v>47368793</v>
      </c>
      <c r="K141">
        <v>47368793</v>
      </c>
      <c r="L141">
        <v>32186592</v>
      </c>
      <c r="M141">
        <v>32186592</v>
      </c>
      <c r="N141">
        <v>32186592</v>
      </c>
      <c r="O141">
        <v>8192529</v>
      </c>
      <c r="P141">
        <v>8192529</v>
      </c>
      <c r="Q141">
        <v>8192529</v>
      </c>
      <c r="R141">
        <v>9944781</v>
      </c>
      <c r="S141">
        <v>9944781</v>
      </c>
      <c r="T141">
        <v>9944781</v>
      </c>
      <c r="U141">
        <v>1020423</v>
      </c>
      <c r="V141">
        <v>1020423</v>
      </c>
      <c r="W141">
        <v>1020423</v>
      </c>
      <c r="AA141">
        <v>583419</v>
      </c>
      <c r="AB141">
        <v>583419</v>
      </c>
      <c r="AC141">
        <v>583419</v>
      </c>
      <c r="AD141">
        <v>614349</v>
      </c>
      <c r="AE141">
        <v>614349</v>
      </c>
      <c r="AF141">
        <v>614349</v>
      </c>
      <c r="AG141">
        <v>229000</v>
      </c>
      <c r="AI141">
        <v>229000</v>
      </c>
      <c r="AJ141">
        <v>229000</v>
      </c>
      <c r="AL141">
        <v>229000</v>
      </c>
      <c r="AP141">
        <v>8207460</v>
      </c>
      <c r="AQ141">
        <v>8207460</v>
      </c>
      <c r="AR141">
        <v>8207460</v>
      </c>
      <c r="AS141">
        <v>879714</v>
      </c>
      <c r="AT141">
        <v>879714</v>
      </c>
      <c r="AU141">
        <v>879714</v>
      </c>
      <c r="AY141">
        <v>161682</v>
      </c>
      <c r="AZ141">
        <v>161682</v>
      </c>
      <c r="BA141">
        <v>161682</v>
      </c>
      <c r="BB141">
        <v>46916</v>
      </c>
      <c r="BC141">
        <v>46916</v>
      </c>
      <c r="BD141">
        <v>46916</v>
      </c>
      <c r="BE141">
        <v>1440</v>
      </c>
      <c r="BF141">
        <v>1440</v>
      </c>
      <c r="BG141">
        <v>1440</v>
      </c>
      <c r="BH141">
        <v>333</v>
      </c>
      <c r="BI141">
        <v>333</v>
      </c>
      <c r="BJ141">
        <v>333</v>
      </c>
      <c r="BK141">
        <v>0</v>
      </c>
      <c r="BM141" t="b">
        <f t="shared" si="8"/>
        <v>0</v>
      </c>
      <c r="BN141" t="b">
        <f t="shared" si="9"/>
        <v>0</v>
      </c>
      <c r="BO141">
        <v>6414</v>
      </c>
      <c r="BP141">
        <v>6414</v>
      </c>
      <c r="BQ141">
        <v>6414</v>
      </c>
      <c r="BR141">
        <v>0</v>
      </c>
      <c r="BS141" t="b">
        <f t="shared" si="10"/>
        <v>1</v>
      </c>
      <c r="BT141" t="b">
        <f t="shared" si="11"/>
        <v>1</v>
      </c>
    </row>
    <row r="142" spans="1:72" x14ac:dyDescent="0.35">
      <c r="A142" t="s">
        <v>342</v>
      </c>
      <c r="B142" t="s">
        <v>343</v>
      </c>
      <c r="C142">
        <v>4673</v>
      </c>
      <c r="D142">
        <v>4673</v>
      </c>
      <c r="E142">
        <v>4673</v>
      </c>
      <c r="F142">
        <v>2830</v>
      </c>
      <c r="G142">
        <v>2830</v>
      </c>
      <c r="H142">
        <v>2830</v>
      </c>
      <c r="I142">
        <v>95955626</v>
      </c>
      <c r="J142">
        <v>95955626</v>
      </c>
      <c r="K142">
        <v>95955626</v>
      </c>
      <c r="L142">
        <v>92691022</v>
      </c>
      <c r="M142">
        <v>92691022</v>
      </c>
      <c r="N142">
        <v>92691022</v>
      </c>
      <c r="O142">
        <v>1207</v>
      </c>
      <c r="Q142">
        <v>1207</v>
      </c>
      <c r="R142">
        <v>26962</v>
      </c>
      <c r="S142">
        <v>26962</v>
      </c>
      <c r="T142">
        <v>26962</v>
      </c>
      <c r="U142">
        <v>790</v>
      </c>
      <c r="V142">
        <v>790</v>
      </c>
      <c r="W142">
        <v>790</v>
      </c>
      <c r="AA142">
        <v>2965</v>
      </c>
      <c r="AB142">
        <v>2965</v>
      </c>
      <c r="AC142">
        <v>2965</v>
      </c>
      <c r="AM142">
        <v>1797</v>
      </c>
      <c r="AN142">
        <v>1797</v>
      </c>
      <c r="AO142">
        <v>1797</v>
      </c>
      <c r="AP142">
        <v>26962</v>
      </c>
      <c r="AQ142">
        <v>26962</v>
      </c>
      <c r="AR142">
        <v>26962</v>
      </c>
      <c r="AS142">
        <v>251</v>
      </c>
      <c r="AT142">
        <v>251</v>
      </c>
      <c r="AU142">
        <v>251</v>
      </c>
      <c r="BB142">
        <v>136</v>
      </c>
      <c r="BC142">
        <v>136</v>
      </c>
      <c r="BD142">
        <v>136</v>
      </c>
      <c r="BE142">
        <v>2573</v>
      </c>
      <c r="BG142">
        <v>2573</v>
      </c>
      <c r="BH142">
        <v>350</v>
      </c>
      <c r="BJ142">
        <v>350</v>
      </c>
      <c r="BK142">
        <v>1</v>
      </c>
      <c r="BM142" t="b">
        <f t="shared" si="8"/>
        <v>0</v>
      </c>
      <c r="BN142" t="b">
        <f t="shared" si="9"/>
        <v>1</v>
      </c>
      <c r="BO142">
        <v>10325</v>
      </c>
      <c r="BP142">
        <v>10325</v>
      </c>
      <c r="BQ142">
        <v>10325</v>
      </c>
      <c r="BR142">
        <v>0</v>
      </c>
      <c r="BS142" t="b">
        <f t="shared" si="10"/>
        <v>1</v>
      </c>
      <c r="BT142" t="b">
        <f t="shared" si="11"/>
        <v>1</v>
      </c>
    </row>
    <row r="143" spans="1:72" x14ac:dyDescent="0.35">
      <c r="A143" t="s">
        <v>344</v>
      </c>
      <c r="B143" t="s">
        <v>345</v>
      </c>
      <c r="C143">
        <v>271</v>
      </c>
      <c r="D143">
        <v>271</v>
      </c>
      <c r="E143">
        <v>271</v>
      </c>
      <c r="F143">
        <v>11</v>
      </c>
      <c r="G143">
        <v>11</v>
      </c>
      <c r="H143">
        <v>11</v>
      </c>
      <c r="I143">
        <v>819525</v>
      </c>
      <c r="J143">
        <v>819525</v>
      </c>
      <c r="K143">
        <v>819525</v>
      </c>
      <c r="L143">
        <v>592885</v>
      </c>
      <c r="M143">
        <v>592885</v>
      </c>
      <c r="N143">
        <v>592885</v>
      </c>
      <c r="O143">
        <v>1504</v>
      </c>
      <c r="P143">
        <v>1504</v>
      </c>
      <c r="Q143">
        <v>1504</v>
      </c>
      <c r="R143">
        <v>9924</v>
      </c>
      <c r="T143">
        <v>9924</v>
      </c>
      <c r="U143">
        <v>138</v>
      </c>
      <c r="V143">
        <v>138</v>
      </c>
      <c r="W143">
        <v>138</v>
      </c>
      <c r="AA143">
        <v>30</v>
      </c>
      <c r="AB143">
        <v>30</v>
      </c>
      <c r="AC143">
        <v>30</v>
      </c>
      <c r="AG143">
        <v>1938</v>
      </c>
      <c r="AI143">
        <v>1938</v>
      </c>
      <c r="AJ143">
        <v>488</v>
      </c>
      <c r="AK143">
        <v>488</v>
      </c>
      <c r="AL143">
        <v>488</v>
      </c>
      <c r="AM143">
        <v>132</v>
      </c>
      <c r="AO143">
        <v>132</v>
      </c>
      <c r="AP143">
        <v>2337</v>
      </c>
      <c r="AQ143">
        <v>2337</v>
      </c>
      <c r="AR143">
        <v>2337</v>
      </c>
      <c r="AS143">
        <v>132</v>
      </c>
      <c r="AU143">
        <v>132</v>
      </c>
      <c r="AY143">
        <v>1973</v>
      </c>
      <c r="AZ143">
        <v>1973</v>
      </c>
      <c r="BA143">
        <v>1973</v>
      </c>
      <c r="BB143">
        <v>30</v>
      </c>
      <c r="BC143">
        <v>30</v>
      </c>
      <c r="BD143">
        <v>30</v>
      </c>
      <c r="BE143">
        <v>912</v>
      </c>
      <c r="BF143">
        <v>912</v>
      </c>
      <c r="BG143">
        <v>912</v>
      </c>
      <c r="BH143">
        <v>5495</v>
      </c>
      <c r="BJ143">
        <v>5495</v>
      </c>
      <c r="BK143">
        <v>1</v>
      </c>
      <c r="BM143" t="b">
        <f t="shared" si="8"/>
        <v>0</v>
      </c>
      <c r="BN143" t="b">
        <f t="shared" si="9"/>
        <v>1</v>
      </c>
      <c r="BO143">
        <v>401</v>
      </c>
      <c r="BP143">
        <v>401</v>
      </c>
      <c r="BQ143">
        <v>401</v>
      </c>
      <c r="BR143">
        <v>0</v>
      </c>
      <c r="BS143" t="b">
        <f t="shared" si="10"/>
        <v>1</v>
      </c>
      <c r="BT143" t="b">
        <f t="shared" si="11"/>
        <v>1</v>
      </c>
    </row>
    <row r="144" spans="1:72" x14ac:dyDescent="0.35">
      <c r="A144" t="s">
        <v>346</v>
      </c>
      <c r="B144" t="s">
        <v>347</v>
      </c>
      <c r="D144">
        <v>1005</v>
      </c>
      <c r="E144">
        <v>1005</v>
      </c>
      <c r="G144">
        <v>22</v>
      </c>
      <c r="H144">
        <v>22</v>
      </c>
      <c r="J144">
        <v>3090432</v>
      </c>
      <c r="K144">
        <v>3090432</v>
      </c>
      <c r="M144">
        <v>2562939</v>
      </c>
      <c r="N144">
        <v>2562939</v>
      </c>
      <c r="P144">
        <v>4960</v>
      </c>
      <c r="Q144">
        <v>4960</v>
      </c>
      <c r="V144">
        <v>1589</v>
      </c>
      <c r="W144">
        <v>1589</v>
      </c>
      <c r="AE144">
        <v>742</v>
      </c>
      <c r="AF144">
        <v>742</v>
      </c>
      <c r="AH144">
        <v>529</v>
      </c>
      <c r="AI144">
        <v>529</v>
      </c>
      <c r="AK144">
        <v>529</v>
      </c>
      <c r="AL144">
        <v>529</v>
      </c>
      <c r="AN144">
        <v>902</v>
      </c>
      <c r="AO144">
        <v>902</v>
      </c>
      <c r="AQ144">
        <v>21627</v>
      </c>
      <c r="AR144">
        <v>21627</v>
      </c>
      <c r="AZ144">
        <v>4795</v>
      </c>
      <c r="BA144">
        <v>4795</v>
      </c>
      <c r="BF144">
        <v>308</v>
      </c>
      <c r="BG144">
        <v>308</v>
      </c>
      <c r="BI144">
        <v>122</v>
      </c>
      <c r="BJ144">
        <v>122</v>
      </c>
      <c r="BM144" t="b">
        <f t="shared" si="8"/>
        <v>0</v>
      </c>
      <c r="BN144" t="b">
        <f t="shared" si="9"/>
        <v>0</v>
      </c>
      <c r="BP144">
        <v>3388</v>
      </c>
      <c r="BQ144">
        <v>3388</v>
      </c>
      <c r="BS144" t="b">
        <f t="shared" si="10"/>
        <v>1</v>
      </c>
      <c r="BT144" t="b">
        <f t="shared" si="11"/>
        <v>1</v>
      </c>
    </row>
    <row r="145" spans="1:72" x14ac:dyDescent="0.35">
      <c r="A145" t="s">
        <v>348</v>
      </c>
      <c r="B145" t="s">
        <v>349</v>
      </c>
      <c r="C145">
        <v>33820</v>
      </c>
      <c r="D145">
        <v>33820</v>
      </c>
      <c r="E145">
        <v>33820</v>
      </c>
      <c r="F145">
        <v>1305</v>
      </c>
      <c r="H145">
        <v>1305</v>
      </c>
      <c r="I145">
        <v>86504656</v>
      </c>
      <c r="K145">
        <v>86504656</v>
      </c>
      <c r="L145">
        <v>64301766</v>
      </c>
      <c r="M145">
        <v>64301766</v>
      </c>
      <c r="N145">
        <v>64301766</v>
      </c>
      <c r="AD145">
        <v>1500</v>
      </c>
      <c r="AE145">
        <v>1500</v>
      </c>
      <c r="AF145">
        <v>1500</v>
      </c>
      <c r="AM145">
        <v>1413</v>
      </c>
      <c r="AN145">
        <v>1413</v>
      </c>
      <c r="AO145">
        <v>1413</v>
      </c>
      <c r="AP145">
        <v>2411155</v>
      </c>
      <c r="AQ145">
        <v>2411155</v>
      </c>
      <c r="AR145">
        <v>2411155</v>
      </c>
      <c r="AS145">
        <v>247160</v>
      </c>
      <c r="AT145">
        <v>247160</v>
      </c>
      <c r="AU145">
        <v>247160</v>
      </c>
      <c r="AV145">
        <v>44876</v>
      </c>
      <c r="AW145">
        <v>44876</v>
      </c>
      <c r="AX145">
        <v>44876</v>
      </c>
      <c r="BK145">
        <v>1</v>
      </c>
      <c r="BM145" t="b">
        <f t="shared" si="8"/>
        <v>0</v>
      </c>
      <c r="BN145" t="b">
        <f t="shared" si="9"/>
        <v>1</v>
      </c>
      <c r="BO145">
        <v>2021</v>
      </c>
      <c r="BQ145">
        <v>2021</v>
      </c>
      <c r="BR145">
        <v>0</v>
      </c>
      <c r="BS145" t="b">
        <f t="shared" si="10"/>
        <v>1</v>
      </c>
      <c r="BT145" t="b">
        <f t="shared" si="11"/>
        <v>1</v>
      </c>
    </row>
    <row r="146" spans="1:72" x14ac:dyDescent="0.35">
      <c r="A146" t="s">
        <v>350</v>
      </c>
      <c r="B146" t="s">
        <v>351</v>
      </c>
      <c r="D146">
        <v>8928</v>
      </c>
      <c r="E146">
        <v>8928</v>
      </c>
      <c r="G146">
        <v>289</v>
      </c>
      <c r="H146">
        <v>289</v>
      </c>
      <c r="J146">
        <v>5027000</v>
      </c>
      <c r="K146">
        <v>5027000</v>
      </c>
      <c r="M146">
        <v>15084914</v>
      </c>
      <c r="N146">
        <v>15084914</v>
      </c>
      <c r="P146">
        <v>118947</v>
      </c>
      <c r="Q146">
        <v>118947</v>
      </c>
      <c r="S146">
        <v>56628</v>
      </c>
      <c r="T146">
        <v>56628</v>
      </c>
      <c r="V146">
        <v>271635</v>
      </c>
      <c r="W146">
        <v>271635</v>
      </c>
      <c r="AB146">
        <v>4581</v>
      </c>
      <c r="AC146">
        <v>4581</v>
      </c>
      <c r="AE146">
        <v>580233</v>
      </c>
      <c r="AF146">
        <v>580233</v>
      </c>
      <c r="AH146">
        <v>10000</v>
      </c>
      <c r="AI146">
        <v>10000</v>
      </c>
      <c r="AK146">
        <v>9000</v>
      </c>
      <c r="AL146">
        <v>9000</v>
      </c>
      <c r="AN146">
        <v>3650</v>
      </c>
      <c r="AO146">
        <v>3650</v>
      </c>
      <c r="AQ146">
        <v>165581</v>
      </c>
      <c r="AR146">
        <v>165581</v>
      </c>
      <c r="AT146">
        <v>137371</v>
      </c>
      <c r="AU146">
        <v>137371</v>
      </c>
      <c r="AW146">
        <v>692679</v>
      </c>
      <c r="AX146">
        <v>692679</v>
      </c>
      <c r="AZ146">
        <v>93599</v>
      </c>
      <c r="BA146">
        <v>93599</v>
      </c>
      <c r="BC146">
        <v>102029</v>
      </c>
      <c r="BD146">
        <v>102029</v>
      </c>
      <c r="BF146">
        <v>4958</v>
      </c>
      <c r="BG146">
        <v>4958</v>
      </c>
      <c r="BI146">
        <v>928</v>
      </c>
      <c r="BJ146">
        <v>928</v>
      </c>
      <c r="BM146" t="b">
        <f t="shared" si="8"/>
        <v>0</v>
      </c>
      <c r="BN146" t="b">
        <f t="shared" si="9"/>
        <v>0</v>
      </c>
      <c r="BP146">
        <v>54310</v>
      </c>
      <c r="BQ146">
        <v>54310</v>
      </c>
      <c r="BS146" t="b">
        <f t="shared" si="10"/>
        <v>1</v>
      </c>
      <c r="BT146" t="b">
        <f t="shared" si="11"/>
        <v>1</v>
      </c>
    </row>
    <row r="147" spans="1:72" x14ac:dyDescent="0.35">
      <c r="A147" t="s">
        <v>352</v>
      </c>
      <c r="B147" t="s">
        <v>353</v>
      </c>
      <c r="C147">
        <v>32716</v>
      </c>
      <c r="E147">
        <v>32716</v>
      </c>
      <c r="F147">
        <v>912</v>
      </c>
      <c r="G147">
        <v>912</v>
      </c>
      <c r="H147">
        <v>912</v>
      </c>
      <c r="I147">
        <v>2890290</v>
      </c>
      <c r="J147">
        <v>2890290</v>
      </c>
      <c r="K147">
        <v>2890290</v>
      </c>
      <c r="L147">
        <v>2889476</v>
      </c>
      <c r="M147">
        <v>2889476</v>
      </c>
      <c r="N147">
        <v>2889476</v>
      </c>
      <c r="O147">
        <v>42894</v>
      </c>
      <c r="P147">
        <v>42894</v>
      </c>
      <c r="Q147">
        <v>42894</v>
      </c>
      <c r="R147">
        <v>472504</v>
      </c>
      <c r="S147">
        <v>472504</v>
      </c>
      <c r="T147">
        <v>472504</v>
      </c>
      <c r="U147">
        <v>69790</v>
      </c>
      <c r="V147">
        <v>69790</v>
      </c>
      <c r="W147">
        <v>69790</v>
      </c>
      <c r="AA147">
        <v>1068</v>
      </c>
      <c r="AB147">
        <v>1068</v>
      </c>
      <c r="AC147">
        <v>1068</v>
      </c>
      <c r="AD147">
        <v>42894</v>
      </c>
      <c r="AE147">
        <v>42894</v>
      </c>
      <c r="AF147">
        <v>42894</v>
      </c>
      <c r="AG147">
        <v>148</v>
      </c>
      <c r="AI147">
        <v>148</v>
      </c>
      <c r="AJ147">
        <v>5100</v>
      </c>
      <c r="AK147">
        <v>5100</v>
      </c>
      <c r="AL147">
        <v>5100</v>
      </c>
      <c r="AM147">
        <v>0</v>
      </c>
      <c r="AO147">
        <v>0</v>
      </c>
      <c r="AP147">
        <v>63163</v>
      </c>
      <c r="AQ147">
        <v>63163</v>
      </c>
      <c r="AR147">
        <v>63163</v>
      </c>
      <c r="AS147">
        <v>48643</v>
      </c>
      <c r="AT147">
        <v>48643</v>
      </c>
      <c r="AU147">
        <v>48643</v>
      </c>
      <c r="AY147">
        <v>16548</v>
      </c>
      <c r="AZ147">
        <v>16548</v>
      </c>
      <c r="BA147">
        <v>16548</v>
      </c>
      <c r="BB147">
        <v>10156</v>
      </c>
      <c r="BC147">
        <v>10156</v>
      </c>
      <c r="BD147">
        <v>10156</v>
      </c>
      <c r="BE147">
        <v>37255</v>
      </c>
      <c r="BF147">
        <v>37255</v>
      </c>
      <c r="BG147">
        <v>37255</v>
      </c>
      <c r="BH147">
        <v>46483</v>
      </c>
      <c r="BI147">
        <v>46483</v>
      </c>
      <c r="BJ147">
        <v>46483</v>
      </c>
      <c r="BK147">
        <v>1</v>
      </c>
      <c r="BM147" t="b">
        <f t="shared" si="8"/>
        <v>0</v>
      </c>
      <c r="BN147" t="b">
        <f t="shared" si="9"/>
        <v>1</v>
      </c>
      <c r="BO147">
        <v>36837</v>
      </c>
      <c r="BP147">
        <v>36837</v>
      </c>
      <c r="BQ147">
        <v>36837</v>
      </c>
      <c r="BR147">
        <v>0</v>
      </c>
      <c r="BS147" t="b">
        <f t="shared" si="10"/>
        <v>1</v>
      </c>
      <c r="BT147" t="b">
        <f t="shared" si="11"/>
        <v>1</v>
      </c>
    </row>
    <row r="148" spans="1:72" x14ac:dyDescent="0.35">
      <c r="A148" t="s">
        <v>354</v>
      </c>
      <c r="B148" t="s">
        <v>355</v>
      </c>
      <c r="C148">
        <v>57000</v>
      </c>
      <c r="D148">
        <v>57000</v>
      </c>
      <c r="E148">
        <v>57000</v>
      </c>
      <c r="F148">
        <v>835</v>
      </c>
      <c r="G148">
        <v>835</v>
      </c>
      <c r="H148">
        <v>835</v>
      </c>
      <c r="I148">
        <v>40824476</v>
      </c>
      <c r="J148">
        <v>40824476</v>
      </c>
      <c r="K148">
        <v>40824476</v>
      </c>
      <c r="L148">
        <v>32289845</v>
      </c>
      <c r="M148">
        <v>32289845</v>
      </c>
      <c r="N148">
        <v>32289845</v>
      </c>
      <c r="O148">
        <v>20800</v>
      </c>
      <c r="P148">
        <v>20800</v>
      </c>
      <c r="Q148">
        <v>20800</v>
      </c>
      <c r="R148">
        <v>705727</v>
      </c>
      <c r="S148">
        <v>705727</v>
      </c>
      <c r="T148">
        <v>705727</v>
      </c>
      <c r="AD148">
        <v>7275</v>
      </c>
      <c r="AE148">
        <v>7275</v>
      </c>
      <c r="AF148">
        <v>7275</v>
      </c>
      <c r="AM148">
        <v>111005</v>
      </c>
      <c r="AN148">
        <v>111005</v>
      </c>
      <c r="AO148">
        <v>111005</v>
      </c>
      <c r="AP148">
        <v>1525227</v>
      </c>
      <c r="AQ148">
        <v>1525227</v>
      </c>
      <c r="AR148">
        <v>1525227</v>
      </c>
      <c r="AS148">
        <v>201100</v>
      </c>
      <c r="AT148">
        <v>201100</v>
      </c>
      <c r="AU148">
        <v>201100</v>
      </c>
      <c r="AY148">
        <v>50000</v>
      </c>
      <c r="AZ148">
        <v>50000</v>
      </c>
      <c r="BA148">
        <v>50000</v>
      </c>
      <c r="BB148">
        <v>433000</v>
      </c>
      <c r="BC148">
        <v>433000</v>
      </c>
      <c r="BD148">
        <v>433000</v>
      </c>
      <c r="BE148">
        <v>54036</v>
      </c>
      <c r="BF148">
        <v>54036</v>
      </c>
      <c r="BG148">
        <v>54036</v>
      </c>
      <c r="BH148">
        <v>1410218</v>
      </c>
      <c r="BI148">
        <v>1410218</v>
      </c>
      <c r="BJ148">
        <v>1410218</v>
      </c>
      <c r="BK148">
        <v>0</v>
      </c>
      <c r="BL148">
        <v>140600</v>
      </c>
      <c r="BM148" t="b">
        <f t="shared" si="8"/>
        <v>1</v>
      </c>
      <c r="BN148" t="b">
        <f t="shared" si="9"/>
        <v>1</v>
      </c>
      <c r="BO148">
        <v>827000</v>
      </c>
      <c r="BP148">
        <v>827000</v>
      </c>
      <c r="BQ148">
        <v>827000</v>
      </c>
      <c r="BR148">
        <v>0</v>
      </c>
      <c r="BS148" t="b">
        <f t="shared" si="10"/>
        <v>1</v>
      </c>
      <c r="BT148" t="b">
        <f t="shared" si="11"/>
        <v>1</v>
      </c>
    </row>
    <row r="149" spans="1:72" x14ac:dyDescent="0.35">
      <c r="A149" t="s">
        <v>356</v>
      </c>
      <c r="B149" t="s">
        <v>357</v>
      </c>
      <c r="C149">
        <v>70013</v>
      </c>
      <c r="D149">
        <v>70013</v>
      </c>
      <c r="E149">
        <v>70013</v>
      </c>
      <c r="F149">
        <v>89</v>
      </c>
      <c r="H149">
        <v>89</v>
      </c>
      <c r="I149">
        <v>3251054</v>
      </c>
      <c r="K149">
        <v>3251054</v>
      </c>
      <c r="L149">
        <v>3840543</v>
      </c>
      <c r="M149">
        <v>3840543</v>
      </c>
      <c r="N149">
        <v>3840543</v>
      </c>
      <c r="O149">
        <v>217270</v>
      </c>
      <c r="P149">
        <v>217270</v>
      </c>
      <c r="Q149">
        <v>217270</v>
      </c>
      <c r="R149">
        <v>1110059</v>
      </c>
      <c r="S149">
        <v>1110059</v>
      </c>
      <c r="T149">
        <v>1110059</v>
      </c>
      <c r="U149">
        <v>2146722</v>
      </c>
      <c r="V149">
        <v>2146722</v>
      </c>
      <c r="W149">
        <v>2146722</v>
      </c>
      <c r="AA149">
        <v>10337</v>
      </c>
      <c r="AB149">
        <v>10337</v>
      </c>
      <c r="AC149">
        <v>10337</v>
      </c>
      <c r="AD149">
        <v>85245</v>
      </c>
      <c r="AE149">
        <v>85245</v>
      </c>
      <c r="AF149">
        <v>85245</v>
      </c>
      <c r="AG149">
        <v>1914859</v>
      </c>
      <c r="AI149">
        <v>1914859</v>
      </c>
      <c r="AM149">
        <v>15462</v>
      </c>
      <c r="AN149">
        <v>15462</v>
      </c>
      <c r="AO149">
        <v>15462</v>
      </c>
      <c r="AP149">
        <v>4291169</v>
      </c>
      <c r="AQ149">
        <v>2734979</v>
      </c>
      <c r="AR149">
        <v>4291169</v>
      </c>
      <c r="AS149">
        <v>466497</v>
      </c>
      <c r="AT149">
        <v>466497</v>
      </c>
      <c r="AU149">
        <v>466497</v>
      </c>
      <c r="AY149">
        <v>1033427</v>
      </c>
      <c r="AZ149">
        <v>1029152</v>
      </c>
      <c r="BA149">
        <v>1033427</v>
      </c>
      <c r="BB149">
        <v>250944</v>
      </c>
      <c r="BC149">
        <v>250944</v>
      </c>
      <c r="BD149">
        <v>250944</v>
      </c>
      <c r="BE149">
        <v>46238</v>
      </c>
      <c r="BF149">
        <v>44585</v>
      </c>
      <c r="BG149">
        <v>46238</v>
      </c>
      <c r="BH149">
        <v>142000</v>
      </c>
      <c r="BI149">
        <v>142000</v>
      </c>
      <c r="BJ149">
        <v>142000</v>
      </c>
      <c r="BK149">
        <v>1</v>
      </c>
      <c r="BM149" t="b">
        <f t="shared" si="8"/>
        <v>0</v>
      </c>
      <c r="BN149" t="b">
        <f t="shared" si="9"/>
        <v>1</v>
      </c>
      <c r="BO149">
        <v>12752</v>
      </c>
      <c r="BP149">
        <v>12752</v>
      </c>
      <c r="BQ149">
        <v>12752</v>
      </c>
      <c r="BR149">
        <v>0</v>
      </c>
      <c r="BS149" t="b">
        <f t="shared" si="10"/>
        <v>1</v>
      </c>
      <c r="BT149" t="b">
        <f t="shared" si="11"/>
        <v>1</v>
      </c>
    </row>
    <row r="150" spans="1:72" x14ac:dyDescent="0.35">
      <c r="A150" t="s">
        <v>358</v>
      </c>
      <c r="B150" t="s">
        <v>359</v>
      </c>
      <c r="D150">
        <v>110245</v>
      </c>
      <c r="E150">
        <v>110245</v>
      </c>
      <c r="G150">
        <v>9713</v>
      </c>
      <c r="H150">
        <v>9713</v>
      </c>
      <c r="J150">
        <v>583569</v>
      </c>
      <c r="K150">
        <v>583569</v>
      </c>
      <c r="P150">
        <v>524721</v>
      </c>
      <c r="Q150">
        <v>524721</v>
      </c>
      <c r="BM150" t="b">
        <f t="shared" si="8"/>
        <v>0</v>
      </c>
      <c r="BN150" t="b">
        <f t="shared" si="9"/>
        <v>0</v>
      </c>
      <c r="BP150">
        <v>55474</v>
      </c>
      <c r="BQ150">
        <v>55474</v>
      </c>
      <c r="BS150" t="b">
        <f t="shared" si="10"/>
        <v>1</v>
      </c>
      <c r="BT150" t="b">
        <f t="shared" si="11"/>
        <v>1</v>
      </c>
    </row>
    <row r="151" spans="1:72" x14ac:dyDescent="0.35">
      <c r="A151" t="s">
        <v>360</v>
      </c>
      <c r="B151" t="s">
        <v>361</v>
      </c>
      <c r="D151">
        <v>114</v>
      </c>
      <c r="E151">
        <v>114</v>
      </c>
      <c r="G151">
        <v>25</v>
      </c>
      <c r="H151">
        <v>25</v>
      </c>
      <c r="J151">
        <v>553247</v>
      </c>
      <c r="K151">
        <v>553247</v>
      </c>
      <c r="M151">
        <v>545754</v>
      </c>
      <c r="N151">
        <v>545754</v>
      </c>
      <c r="P151">
        <v>37808</v>
      </c>
      <c r="Q151">
        <v>37808</v>
      </c>
      <c r="S151">
        <v>71460</v>
      </c>
      <c r="T151">
        <v>71460</v>
      </c>
      <c r="V151">
        <v>1089</v>
      </c>
      <c r="W151">
        <v>1089</v>
      </c>
      <c r="AB151">
        <v>115</v>
      </c>
      <c r="AC151">
        <v>115</v>
      </c>
      <c r="AQ151">
        <v>70213</v>
      </c>
      <c r="AR151">
        <v>70213</v>
      </c>
      <c r="BF151">
        <v>89</v>
      </c>
      <c r="BG151">
        <v>89</v>
      </c>
      <c r="BM151" t="b">
        <f t="shared" si="8"/>
        <v>0</v>
      </c>
      <c r="BN151" t="b">
        <f t="shared" si="9"/>
        <v>0</v>
      </c>
      <c r="BP151">
        <v>733</v>
      </c>
      <c r="BQ151">
        <v>733</v>
      </c>
      <c r="BS151" t="b">
        <f t="shared" si="10"/>
        <v>1</v>
      </c>
      <c r="BT151" t="b">
        <f t="shared" si="11"/>
        <v>1</v>
      </c>
    </row>
    <row r="152" spans="1:72" x14ac:dyDescent="0.35">
      <c r="A152" t="s">
        <v>362</v>
      </c>
      <c r="B152" t="s">
        <v>363</v>
      </c>
      <c r="D152">
        <v>140</v>
      </c>
      <c r="E152">
        <v>140</v>
      </c>
      <c r="G152">
        <v>7</v>
      </c>
      <c r="H152">
        <v>7</v>
      </c>
      <c r="P152">
        <v>52</v>
      </c>
      <c r="Q152">
        <v>52</v>
      </c>
      <c r="V152">
        <v>48</v>
      </c>
      <c r="W152">
        <v>48</v>
      </c>
      <c r="AB152">
        <v>192</v>
      </c>
      <c r="AC152">
        <v>192</v>
      </c>
      <c r="AN152">
        <v>163</v>
      </c>
      <c r="AO152">
        <v>163</v>
      </c>
      <c r="AW152">
        <v>28</v>
      </c>
      <c r="AX152">
        <v>28</v>
      </c>
      <c r="AZ152">
        <v>85</v>
      </c>
      <c r="BA152">
        <v>85</v>
      </c>
      <c r="BM152" t="b">
        <f t="shared" si="8"/>
        <v>0</v>
      </c>
      <c r="BN152" t="b">
        <f t="shared" si="9"/>
        <v>0</v>
      </c>
      <c r="BP152">
        <v>242</v>
      </c>
      <c r="BQ152">
        <v>242</v>
      </c>
      <c r="BS152" t="b">
        <f t="shared" si="10"/>
        <v>1</v>
      </c>
      <c r="BT152" t="b">
        <f t="shared" si="11"/>
        <v>1</v>
      </c>
    </row>
    <row r="153" spans="1:72" x14ac:dyDescent="0.35">
      <c r="A153" t="s">
        <v>364</v>
      </c>
      <c r="B153" t="s">
        <v>365</v>
      </c>
      <c r="D153">
        <v>109138</v>
      </c>
      <c r="E153">
        <v>109138</v>
      </c>
      <c r="G153">
        <v>482</v>
      </c>
      <c r="H153">
        <v>482</v>
      </c>
      <c r="V153">
        <v>1447223</v>
      </c>
      <c r="W153">
        <v>1447223</v>
      </c>
      <c r="AB153">
        <v>142946</v>
      </c>
      <c r="AC153">
        <v>142946</v>
      </c>
      <c r="AE153">
        <v>22955</v>
      </c>
      <c r="AF153">
        <v>22955</v>
      </c>
      <c r="AN153">
        <v>354682</v>
      </c>
      <c r="AO153">
        <v>354682</v>
      </c>
      <c r="AQ153">
        <v>604536</v>
      </c>
      <c r="AR153">
        <v>604536</v>
      </c>
      <c r="AT153">
        <v>54996</v>
      </c>
      <c r="AU153">
        <v>54996</v>
      </c>
      <c r="AW153">
        <v>20600</v>
      </c>
      <c r="AX153">
        <v>20600</v>
      </c>
      <c r="AZ153">
        <v>1429463</v>
      </c>
      <c r="BA153">
        <v>1429463</v>
      </c>
      <c r="BC153">
        <v>1447223</v>
      </c>
      <c r="BD153">
        <v>1447223</v>
      </c>
      <c r="BF153">
        <v>34736</v>
      </c>
      <c r="BG153">
        <v>34736</v>
      </c>
      <c r="BI153">
        <v>2300</v>
      </c>
      <c r="BJ153">
        <v>2300</v>
      </c>
      <c r="BM153" t="b">
        <f t="shared" si="8"/>
        <v>0</v>
      </c>
      <c r="BN153" t="b">
        <f t="shared" si="9"/>
        <v>0</v>
      </c>
      <c r="BP153">
        <v>105</v>
      </c>
      <c r="BQ153">
        <v>105</v>
      </c>
      <c r="BS153" t="b">
        <f t="shared" si="10"/>
        <v>1</v>
      </c>
      <c r="BT153" t="b">
        <f t="shared" si="11"/>
        <v>1</v>
      </c>
    </row>
    <row r="154" spans="1:72" x14ac:dyDescent="0.35">
      <c r="A154" t="s">
        <v>366</v>
      </c>
      <c r="B154" t="s">
        <v>367</v>
      </c>
      <c r="C154">
        <v>23000</v>
      </c>
      <c r="E154">
        <v>23000</v>
      </c>
      <c r="F154">
        <v>476</v>
      </c>
      <c r="G154">
        <v>476</v>
      </c>
      <c r="H154">
        <v>476</v>
      </c>
      <c r="I154">
        <v>72517393</v>
      </c>
      <c r="J154">
        <v>72517393</v>
      </c>
      <c r="K154">
        <v>72517393</v>
      </c>
      <c r="L154">
        <v>78671708</v>
      </c>
      <c r="M154">
        <v>78671708</v>
      </c>
      <c r="N154">
        <v>78671708</v>
      </c>
      <c r="AD154">
        <v>20547</v>
      </c>
      <c r="AE154">
        <v>20547</v>
      </c>
      <c r="AF154">
        <v>20547</v>
      </c>
      <c r="AP154">
        <v>34191</v>
      </c>
      <c r="AQ154">
        <v>34191</v>
      </c>
      <c r="AR154">
        <v>34191</v>
      </c>
      <c r="AS154">
        <v>1219</v>
      </c>
      <c r="AT154">
        <v>1219</v>
      </c>
      <c r="AU154">
        <v>1219</v>
      </c>
      <c r="BB154">
        <v>3300</v>
      </c>
      <c r="BC154">
        <v>3300</v>
      </c>
      <c r="BD154">
        <v>3300</v>
      </c>
      <c r="BH154">
        <v>39609</v>
      </c>
      <c r="BI154">
        <v>39609</v>
      </c>
      <c r="BJ154">
        <v>39609</v>
      </c>
      <c r="BK154">
        <v>1</v>
      </c>
      <c r="BM154" t="b">
        <f t="shared" si="8"/>
        <v>0</v>
      </c>
      <c r="BN154" t="b">
        <f t="shared" si="9"/>
        <v>1</v>
      </c>
      <c r="BO154">
        <v>34191</v>
      </c>
      <c r="BP154">
        <v>34191</v>
      </c>
      <c r="BQ154">
        <v>34191</v>
      </c>
      <c r="BR154">
        <v>0</v>
      </c>
      <c r="BS154" t="b">
        <f t="shared" si="10"/>
        <v>1</v>
      </c>
      <c r="BT154" t="b">
        <f t="shared" si="11"/>
        <v>1</v>
      </c>
    </row>
    <row r="155" spans="1:72" x14ac:dyDescent="0.35">
      <c r="A155" t="s">
        <v>368</v>
      </c>
      <c r="B155" t="s">
        <v>369</v>
      </c>
      <c r="D155">
        <v>26864</v>
      </c>
      <c r="E155">
        <v>26864</v>
      </c>
      <c r="G155">
        <v>211</v>
      </c>
      <c r="H155">
        <v>211</v>
      </c>
      <c r="J155">
        <v>15341986</v>
      </c>
      <c r="K155">
        <v>15341986</v>
      </c>
      <c r="M155">
        <v>13057125</v>
      </c>
      <c r="N155">
        <v>13057125</v>
      </c>
      <c r="S155">
        <v>90308</v>
      </c>
      <c r="T155">
        <v>90308</v>
      </c>
      <c r="AB155">
        <v>212</v>
      </c>
      <c r="AC155">
        <v>212</v>
      </c>
      <c r="AE155">
        <v>1346</v>
      </c>
      <c r="AF155">
        <v>1346</v>
      </c>
      <c r="AN155">
        <v>2250</v>
      </c>
      <c r="AO155">
        <v>2250</v>
      </c>
      <c r="AQ155">
        <v>84952</v>
      </c>
      <c r="AR155">
        <v>84952</v>
      </c>
      <c r="AT155">
        <v>1806</v>
      </c>
      <c r="AU155">
        <v>1806</v>
      </c>
      <c r="BC155">
        <v>7694</v>
      </c>
      <c r="BD155">
        <v>7694</v>
      </c>
      <c r="BF155">
        <v>103</v>
      </c>
      <c r="BG155">
        <v>103</v>
      </c>
      <c r="BI155">
        <v>13284</v>
      </c>
      <c r="BJ155">
        <v>13284</v>
      </c>
      <c r="BM155" t="b">
        <f t="shared" si="8"/>
        <v>0</v>
      </c>
      <c r="BN155" t="b">
        <f t="shared" si="9"/>
        <v>0</v>
      </c>
      <c r="BP155">
        <v>10277</v>
      </c>
      <c r="BQ155">
        <v>10277</v>
      </c>
      <c r="BS155" t="b">
        <f t="shared" si="10"/>
        <v>1</v>
      </c>
      <c r="BT155" t="b">
        <f t="shared" si="11"/>
        <v>1</v>
      </c>
    </row>
    <row r="156" spans="1:72" x14ac:dyDescent="0.35">
      <c r="A156" t="s">
        <v>370</v>
      </c>
      <c r="B156" t="s">
        <v>371</v>
      </c>
      <c r="C156">
        <v>16485</v>
      </c>
      <c r="D156">
        <v>16485</v>
      </c>
      <c r="E156">
        <v>16485</v>
      </c>
      <c r="F156">
        <v>147</v>
      </c>
      <c r="G156">
        <v>147</v>
      </c>
      <c r="H156">
        <v>147</v>
      </c>
      <c r="I156">
        <v>13230634</v>
      </c>
      <c r="J156">
        <v>13230634</v>
      </c>
      <c r="K156">
        <v>13230634</v>
      </c>
      <c r="L156">
        <v>12293645</v>
      </c>
      <c r="M156">
        <v>12293645</v>
      </c>
      <c r="N156">
        <v>12293645</v>
      </c>
      <c r="O156">
        <v>493</v>
      </c>
      <c r="P156">
        <v>493</v>
      </c>
      <c r="Q156">
        <v>493</v>
      </c>
      <c r="R156">
        <v>2455</v>
      </c>
      <c r="S156">
        <v>2455</v>
      </c>
      <c r="T156">
        <v>2455</v>
      </c>
      <c r="U156">
        <v>509</v>
      </c>
      <c r="V156">
        <v>509</v>
      </c>
      <c r="W156">
        <v>509</v>
      </c>
      <c r="AA156">
        <v>405</v>
      </c>
      <c r="AB156">
        <v>405</v>
      </c>
      <c r="AC156">
        <v>405</v>
      </c>
      <c r="AD156">
        <v>100542</v>
      </c>
      <c r="AE156">
        <v>100542</v>
      </c>
      <c r="AF156">
        <v>100542</v>
      </c>
      <c r="AG156">
        <v>123</v>
      </c>
      <c r="AH156">
        <v>123</v>
      </c>
      <c r="AI156">
        <v>123</v>
      </c>
      <c r="AM156">
        <v>4883</v>
      </c>
      <c r="AN156">
        <v>4883</v>
      </c>
      <c r="AO156">
        <v>4883</v>
      </c>
      <c r="AP156">
        <v>56458</v>
      </c>
      <c r="AQ156">
        <v>56458</v>
      </c>
      <c r="AR156">
        <v>56458</v>
      </c>
      <c r="AS156">
        <v>52145</v>
      </c>
      <c r="AT156">
        <v>52145</v>
      </c>
      <c r="AU156">
        <v>52145</v>
      </c>
      <c r="AY156">
        <v>100515</v>
      </c>
      <c r="AZ156">
        <v>100515</v>
      </c>
      <c r="BA156">
        <v>100515</v>
      </c>
      <c r="BB156">
        <v>12927</v>
      </c>
      <c r="BC156">
        <v>5748</v>
      </c>
      <c r="BD156">
        <v>12927</v>
      </c>
      <c r="BH156">
        <v>1614</v>
      </c>
      <c r="BI156">
        <v>1614</v>
      </c>
      <c r="BJ156">
        <v>1614</v>
      </c>
      <c r="BK156">
        <v>0</v>
      </c>
      <c r="BL156">
        <v>89541</v>
      </c>
      <c r="BM156" t="b">
        <f t="shared" si="8"/>
        <v>1</v>
      </c>
      <c r="BN156" t="b">
        <f t="shared" si="9"/>
        <v>1</v>
      </c>
      <c r="BO156">
        <v>32064</v>
      </c>
      <c r="BP156">
        <v>32064</v>
      </c>
      <c r="BQ156">
        <v>32064</v>
      </c>
      <c r="BR156">
        <v>0</v>
      </c>
      <c r="BS156" t="b">
        <f t="shared" si="10"/>
        <v>1</v>
      </c>
      <c r="BT156" t="b">
        <f t="shared" si="11"/>
        <v>1</v>
      </c>
    </row>
    <row r="157" spans="1:72" x14ac:dyDescent="0.35">
      <c r="A157" t="s">
        <v>372</v>
      </c>
      <c r="B157" t="s">
        <v>373</v>
      </c>
      <c r="D157">
        <v>1574</v>
      </c>
      <c r="E157">
        <v>1574</v>
      </c>
      <c r="G157">
        <v>449</v>
      </c>
      <c r="H157">
        <v>449</v>
      </c>
      <c r="J157">
        <v>13736684</v>
      </c>
      <c r="K157">
        <v>13736684</v>
      </c>
      <c r="M157">
        <v>13605723</v>
      </c>
      <c r="N157">
        <v>13605723</v>
      </c>
      <c r="P157">
        <v>147049</v>
      </c>
      <c r="Q157">
        <v>147049</v>
      </c>
      <c r="S157">
        <v>169115</v>
      </c>
      <c r="T157">
        <v>169115</v>
      </c>
      <c r="V157">
        <v>278206</v>
      </c>
      <c r="W157">
        <v>278206</v>
      </c>
      <c r="AB157">
        <v>803</v>
      </c>
      <c r="AC157">
        <v>803</v>
      </c>
      <c r="AE157">
        <v>4048</v>
      </c>
      <c r="AF157">
        <v>4048</v>
      </c>
      <c r="AN157">
        <v>11392</v>
      </c>
      <c r="AO157">
        <v>11392</v>
      </c>
      <c r="AQ157">
        <v>90690</v>
      </c>
      <c r="AR157">
        <v>90690</v>
      </c>
      <c r="AT157">
        <v>23690</v>
      </c>
      <c r="AU157">
        <v>23690</v>
      </c>
      <c r="AZ157">
        <v>32577</v>
      </c>
      <c r="BA157">
        <v>32577</v>
      </c>
      <c r="BC157">
        <v>213730</v>
      </c>
      <c r="BD157">
        <v>213730</v>
      </c>
      <c r="BF157">
        <v>12698</v>
      </c>
      <c r="BG157">
        <v>12698</v>
      </c>
      <c r="BI157">
        <v>26357</v>
      </c>
      <c r="BJ157">
        <v>26357</v>
      </c>
      <c r="BM157" t="b">
        <f t="shared" si="8"/>
        <v>0</v>
      </c>
      <c r="BN157" t="b">
        <f t="shared" si="9"/>
        <v>0</v>
      </c>
      <c r="BP157">
        <v>39377</v>
      </c>
      <c r="BQ157">
        <v>39377</v>
      </c>
      <c r="BS157" t="b">
        <f t="shared" si="10"/>
        <v>1</v>
      </c>
      <c r="BT157" t="b">
        <f t="shared" si="11"/>
        <v>1</v>
      </c>
    </row>
    <row r="158" spans="1:72" x14ac:dyDescent="0.35">
      <c r="A158" t="s">
        <v>374</v>
      </c>
      <c r="B158" t="s">
        <v>375</v>
      </c>
      <c r="D158">
        <v>11619</v>
      </c>
      <c r="E158">
        <v>11619</v>
      </c>
      <c r="G158">
        <v>67</v>
      </c>
      <c r="H158">
        <v>67</v>
      </c>
      <c r="J158">
        <v>1933</v>
      </c>
      <c r="K158">
        <v>1933</v>
      </c>
      <c r="M158">
        <v>1473</v>
      </c>
      <c r="N158">
        <v>1473</v>
      </c>
      <c r="P158">
        <v>95596</v>
      </c>
      <c r="Q158">
        <v>95596</v>
      </c>
      <c r="S158">
        <v>160544</v>
      </c>
      <c r="T158">
        <v>160544</v>
      </c>
      <c r="V158">
        <v>170204</v>
      </c>
      <c r="W158">
        <v>170204</v>
      </c>
      <c r="AB158">
        <v>50400</v>
      </c>
      <c r="AC158">
        <v>50400</v>
      </c>
      <c r="AE158">
        <v>66212</v>
      </c>
      <c r="AF158">
        <v>66212</v>
      </c>
      <c r="AH158">
        <v>119300</v>
      </c>
      <c r="AI158">
        <v>119300</v>
      </c>
      <c r="AN158">
        <v>45448</v>
      </c>
      <c r="AO158">
        <v>45448</v>
      </c>
      <c r="AQ158">
        <v>93128</v>
      </c>
      <c r="AR158">
        <v>93128</v>
      </c>
      <c r="AT158">
        <v>50400</v>
      </c>
      <c r="AU158">
        <v>50400</v>
      </c>
      <c r="AW158">
        <v>89040</v>
      </c>
      <c r="AX158">
        <v>89040</v>
      </c>
      <c r="AZ158">
        <v>29308</v>
      </c>
      <c r="BA158">
        <v>29308</v>
      </c>
      <c r="BC158">
        <v>1980</v>
      </c>
      <c r="BD158">
        <v>1980</v>
      </c>
      <c r="BF158">
        <v>33072</v>
      </c>
      <c r="BG158">
        <v>33072</v>
      </c>
      <c r="BI158">
        <v>20277</v>
      </c>
      <c r="BJ158">
        <v>20277</v>
      </c>
      <c r="BM158" t="b">
        <f t="shared" si="8"/>
        <v>0</v>
      </c>
      <c r="BN158" t="b">
        <f t="shared" si="9"/>
        <v>0</v>
      </c>
      <c r="BP158">
        <v>2518</v>
      </c>
      <c r="BQ158">
        <v>2518</v>
      </c>
      <c r="BS158" t="b">
        <f t="shared" si="10"/>
        <v>1</v>
      </c>
      <c r="BT158" t="b">
        <f t="shared" si="11"/>
        <v>1</v>
      </c>
    </row>
    <row r="159" spans="1:72" x14ac:dyDescent="0.35">
      <c r="A159" t="s">
        <v>376</v>
      </c>
      <c r="B159" t="s">
        <v>377</v>
      </c>
      <c r="D159">
        <v>45</v>
      </c>
      <c r="E159">
        <v>45</v>
      </c>
      <c r="J159">
        <v>246233</v>
      </c>
      <c r="K159">
        <v>246233</v>
      </c>
      <c r="M159">
        <v>285377</v>
      </c>
      <c r="N159">
        <v>285377</v>
      </c>
      <c r="BM159" t="b">
        <f t="shared" si="8"/>
        <v>0</v>
      </c>
      <c r="BN159" t="b">
        <f t="shared" si="9"/>
        <v>0</v>
      </c>
      <c r="BP159">
        <v>22</v>
      </c>
      <c r="BQ159">
        <v>22</v>
      </c>
      <c r="BS159" t="b">
        <f t="shared" si="10"/>
        <v>1</v>
      </c>
      <c r="BT159" t="b">
        <f t="shared" si="11"/>
        <v>1</v>
      </c>
    </row>
    <row r="160" spans="1:72" x14ac:dyDescent="0.35">
      <c r="A160" t="s">
        <v>378</v>
      </c>
      <c r="B160" t="s">
        <v>379</v>
      </c>
      <c r="D160">
        <v>30030</v>
      </c>
      <c r="E160">
        <v>30030</v>
      </c>
      <c r="G160">
        <v>108</v>
      </c>
      <c r="H160">
        <v>108</v>
      </c>
      <c r="J160">
        <v>1331562</v>
      </c>
      <c r="K160">
        <v>1331562</v>
      </c>
      <c r="M160">
        <v>1270940</v>
      </c>
      <c r="N160">
        <v>1270940</v>
      </c>
      <c r="P160">
        <v>2805</v>
      </c>
      <c r="Q160">
        <v>2805</v>
      </c>
      <c r="S160">
        <v>2010</v>
      </c>
      <c r="T160">
        <v>2010</v>
      </c>
      <c r="V160">
        <v>2005</v>
      </c>
      <c r="W160">
        <v>2005</v>
      </c>
      <c r="AB160">
        <v>4498</v>
      </c>
      <c r="AC160">
        <v>4498</v>
      </c>
      <c r="AE160">
        <v>755</v>
      </c>
      <c r="AF160">
        <v>755</v>
      </c>
      <c r="AN160">
        <v>1050</v>
      </c>
      <c r="AO160">
        <v>1050</v>
      </c>
      <c r="AQ160">
        <v>39500</v>
      </c>
      <c r="AR160">
        <v>39500</v>
      </c>
      <c r="AT160">
        <v>7600</v>
      </c>
      <c r="AU160">
        <v>7600</v>
      </c>
      <c r="BC160">
        <v>31024</v>
      </c>
      <c r="BD160">
        <v>31024</v>
      </c>
      <c r="BI160">
        <v>650</v>
      </c>
      <c r="BJ160">
        <v>650</v>
      </c>
      <c r="BM160" t="b">
        <f t="shared" si="8"/>
        <v>0</v>
      </c>
      <c r="BN160" t="b">
        <f t="shared" si="9"/>
        <v>0</v>
      </c>
      <c r="BP160">
        <v>600</v>
      </c>
      <c r="BQ160">
        <v>600</v>
      </c>
      <c r="BS160" t="b">
        <f t="shared" si="10"/>
        <v>1</v>
      </c>
      <c r="BT160" t="b">
        <f t="shared" si="11"/>
        <v>1</v>
      </c>
    </row>
    <row r="161" spans="1:72" x14ac:dyDescent="0.35">
      <c r="A161" t="s">
        <v>380</v>
      </c>
      <c r="B161" t="s">
        <v>381</v>
      </c>
      <c r="C161">
        <v>1987</v>
      </c>
      <c r="D161">
        <v>1987</v>
      </c>
      <c r="E161">
        <v>1987</v>
      </c>
      <c r="F161">
        <v>1295</v>
      </c>
      <c r="G161">
        <v>1295</v>
      </c>
      <c r="H161">
        <v>1295</v>
      </c>
      <c r="I161">
        <v>19265708</v>
      </c>
      <c r="J161">
        <v>19265708</v>
      </c>
      <c r="K161">
        <v>19265708</v>
      </c>
      <c r="L161">
        <v>19120483</v>
      </c>
      <c r="M161">
        <v>19120483</v>
      </c>
      <c r="N161">
        <v>19120483</v>
      </c>
      <c r="O161">
        <v>280441</v>
      </c>
      <c r="P161">
        <v>280441</v>
      </c>
      <c r="Q161">
        <v>280441</v>
      </c>
      <c r="R161">
        <v>11406</v>
      </c>
      <c r="T161">
        <v>11406</v>
      </c>
      <c r="U161">
        <v>23549</v>
      </c>
      <c r="V161">
        <v>23549</v>
      </c>
      <c r="W161">
        <v>23549</v>
      </c>
      <c r="AA161">
        <v>37800</v>
      </c>
      <c r="AB161">
        <v>37800</v>
      </c>
      <c r="AC161">
        <v>37800</v>
      </c>
      <c r="AD161">
        <v>44830</v>
      </c>
      <c r="AF161">
        <v>44830</v>
      </c>
      <c r="AG161">
        <v>60000</v>
      </c>
      <c r="AI161">
        <v>60000</v>
      </c>
      <c r="AJ161">
        <v>0</v>
      </c>
      <c r="AL161">
        <v>0</v>
      </c>
      <c r="AM161">
        <v>48640</v>
      </c>
      <c r="AN161">
        <v>48640</v>
      </c>
      <c r="AO161">
        <v>48640</v>
      </c>
      <c r="AP161">
        <v>1488408</v>
      </c>
      <c r="AQ161">
        <v>1488408</v>
      </c>
      <c r="AR161">
        <v>1488408</v>
      </c>
      <c r="AS161">
        <v>8485</v>
      </c>
      <c r="AT161">
        <v>8485</v>
      </c>
      <c r="AU161">
        <v>8485</v>
      </c>
      <c r="AV161">
        <v>140993</v>
      </c>
      <c r="AW161">
        <v>140993</v>
      </c>
      <c r="AX161">
        <v>140993</v>
      </c>
      <c r="AY161">
        <v>122270</v>
      </c>
      <c r="AZ161">
        <v>122270</v>
      </c>
      <c r="BA161">
        <v>122270</v>
      </c>
      <c r="BB161">
        <v>282223</v>
      </c>
      <c r="BC161">
        <v>282223</v>
      </c>
      <c r="BD161">
        <v>282223</v>
      </c>
      <c r="BE161">
        <v>19032</v>
      </c>
      <c r="BF161">
        <v>19032</v>
      </c>
      <c r="BG161">
        <v>19032</v>
      </c>
      <c r="BH161">
        <v>0</v>
      </c>
      <c r="BJ161">
        <v>0</v>
      </c>
      <c r="BK161">
        <v>0</v>
      </c>
      <c r="BL161">
        <v>0</v>
      </c>
      <c r="BM161" t="b">
        <f t="shared" si="8"/>
        <v>0</v>
      </c>
      <c r="BN161" t="b">
        <f t="shared" si="9"/>
        <v>0</v>
      </c>
      <c r="BO161">
        <v>4577</v>
      </c>
      <c r="BP161">
        <v>4577</v>
      </c>
      <c r="BQ161">
        <v>4577</v>
      </c>
      <c r="BR161">
        <v>0</v>
      </c>
      <c r="BS161" t="b">
        <f t="shared" si="10"/>
        <v>1</v>
      </c>
      <c r="BT161" t="b">
        <f t="shared" si="11"/>
        <v>1</v>
      </c>
    </row>
    <row r="162" spans="1:72" x14ac:dyDescent="0.35">
      <c r="A162" t="s">
        <v>382</v>
      </c>
      <c r="B162" t="s">
        <v>383</v>
      </c>
      <c r="C162">
        <v>125</v>
      </c>
      <c r="E162">
        <v>125</v>
      </c>
      <c r="F162">
        <v>10</v>
      </c>
      <c r="G162">
        <v>10</v>
      </c>
      <c r="H162">
        <v>10</v>
      </c>
      <c r="I162">
        <v>259438</v>
      </c>
      <c r="J162">
        <v>259438</v>
      </c>
      <c r="K162">
        <v>259438</v>
      </c>
      <c r="L162">
        <v>175198</v>
      </c>
      <c r="M162">
        <v>175198</v>
      </c>
      <c r="N162">
        <v>175198</v>
      </c>
      <c r="O162">
        <v>5000</v>
      </c>
      <c r="P162">
        <v>5000</v>
      </c>
      <c r="Q162">
        <v>5000</v>
      </c>
      <c r="R162">
        <v>0</v>
      </c>
      <c r="T162">
        <v>0</v>
      </c>
      <c r="U162">
        <v>0</v>
      </c>
      <c r="W162">
        <v>0</v>
      </c>
      <c r="AA162">
        <v>0</v>
      </c>
      <c r="AC162">
        <v>0</v>
      </c>
      <c r="AD162">
        <v>0</v>
      </c>
      <c r="AF162">
        <v>0</v>
      </c>
      <c r="AG162">
        <v>0</v>
      </c>
      <c r="AI162">
        <v>0</v>
      </c>
      <c r="AJ162">
        <v>0</v>
      </c>
      <c r="AL162">
        <v>0</v>
      </c>
      <c r="AM162">
        <v>0</v>
      </c>
      <c r="AO162">
        <v>0</v>
      </c>
      <c r="AP162">
        <v>5000</v>
      </c>
      <c r="AQ162">
        <v>5000</v>
      </c>
      <c r="AR162">
        <v>5000</v>
      </c>
      <c r="AS162">
        <v>0</v>
      </c>
      <c r="AU162">
        <v>0</v>
      </c>
      <c r="AV162">
        <v>0</v>
      </c>
      <c r="AX162">
        <v>0</v>
      </c>
      <c r="AY162">
        <v>100</v>
      </c>
      <c r="AZ162">
        <v>100</v>
      </c>
      <c r="BA162">
        <v>100</v>
      </c>
      <c r="BB162">
        <v>0</v>
      </c>
      <c r="BD162">
        <v>0</v>
      </c>
      <c r="BE162">
        <v>0</v>
      </c>
      <c r="BG162">
        <v>0</v>
      </c>
      <c r="BH162">
        <v>0</v>
      </c>
      <c r="BJ162">
        <v>0</v>
      </c>
      <c r="BK162">
        <v>0</v>
      </c>
      <c r="BL162">
        <v>4750</v>
      </c>
      <c r="BM162" t="b">
        <f t="shared" si="8"/>
        <v>1</v>
      </c>
      <c r="BN162" t="b">
        <f t="shared" si="9"/>
        <v>1</v>
      </c>
      <c r="BO162">
        <v>807</v>
      </c>
      <c r="BP162">
        <v>807</v>
      </c>
      <c r="BQ162">
        <v>807</v>
      </c>
      <c r="BR162">
        <v>0</v>
      </c>
      <c r="BS162" t="b">
        <f t="shared" si="10"/>
        <v>1</v>
      </c>
      <c r="BT162" t="b">
        <f t="shared" si="11"/>
        <v>1</v>
      </c>
    </row>
    <row r="163" spans="1:72" x14ac:dyDescent="0.35">
      <c r="A163" t="s">
        <v>384</v>
      </c>
      <c r="B163" t="s">
        <v>385</v>
      </c>
      <c r="D163">
        <v>20095</v>
      </c>
      <c r="E163">
        <v>20095</v>
      </c>
      <c r="G163">
        <v>270</v>
      </c>
      <c r="H163">
        <v>270</v>
      </c>
      <c r="AQ163">
        <v>241772</v>
      </c>
      <c r="AR163">
        <v>241772</v>
      </c>
      <c r="BM163" t="b">
        <f t="shared" si="8"/>
        <v>0</v>
      </c>
      <c r="BN163" t="b">
        <f t="shared" si="9"/>
        <v>0</v>
      </c>
      <c r="BP163">
        <v>2050</v>
      </c>
      <c r="BQ163">
        <v>2050</v>
      </c>
      <c r="BS163" t="b">
        <f t="shared" si="10"/>
        <v>1</v>
      </c>
      <c r="BT163" t="b">
        <f t="shared" si="11"/>
        <v>1</v>
      </c>
    </row>
    <row r="164" spans="1:72" x14ac:dyDescent="0.35">
      <c r="A164" t="s">
        <v>386</v>
      </c>
      <c r="B164" t="s">
        <v>387</v>
      </c>
      <c r="C164">
        <v>173</v>
      </c>
      <c r="D164">
        <v>173</v>
      </c>
      <c r="E164">
        <v>173</v>
      </c>
      <c r="F164">
        <v>32</v>
      </c>
      <c r="G164">
        <v>32</v>
      </c>
      <c r="H164">
        <v>32</v>
      </c>
      <c r="I164">
        <v>112035</v>
      </c>
      <c r="J164">
        <v>112035</v>
      </c>
      <c r="K164">
        <v>112035</v>
      </c>
      <c r="L164">
        <v>41042</v>
      </c>
      <c r="M164">
        <v>41042</v>
      </c>
      <c r="N164">
        <v>41042</v>
      </c>
      <c r="BK164">
        <v>0</v>
      </c>
      <c r="BM164" t="b">
        <f t="shared" si="8"/>
        <v>0</v>
      </c>
      <c r="BN164" t="b">
        <f t="shared" si="9"/>
        <v>0</v>
      </c>
      <c r="BO164">
        <v>0</v>
      </c>
      <c r="BQ164">
        <v>0</v>
      </c>
      <c r="BR164">
        <v>0</v>
      </c>
      <c r="BS164" t="b">
        <f t="shared" si="10"/>
        <v>0</v>
      </c>
      <c r="BT164" t="b">
        <f t="shared" si="11"/>
        <v>0</v>
      </c>
    </row>
    <row r="165" spans="1:72" x14ac:dyDescent="0.35">
      <c r="A165" t="s">
        <v>388</v>
      </c>
      <c r="B165" t="s">
        <v>389</v>
      </c>
      <c r="C165">
        <v>1886</v>
      </c>
      <c r="D165">
        <v>1886</v>
      </c>
      <c r="E165">
        <v>1886</v>
      </c>
      <c r="F165">
        <v>259</v>
      </c>
      <c r="G165">
        <v>259</v>
      </c>
      <c r="H165">
        <v>259</v>
      </c>
      <c r="I165">
        <v>9561367</v>
      </c>
      <c r="J165">
        <v>9561367</v>
      </c>
      <c r="K165">
        <v>9561367</v>
      </c>
      <c r="L165">
        <v>9092564</v>
      </c>
      <c r="M165">
        <v>9092564</v>
      </c>
      <c r="N165">
        <v>9092564</v>
      </c>
      <c r="O165">
        <v>18463</v>
      </c>
      <c r="P165">
        <v>18463</v>
      </c>
      <c r="Q165">
        <v>18463</v>
      </c>
      <c r="R165">
        <v>27047</v>
      </c>
      <c r="S165">
        <v>27047</v>
      </c>
      <c r="T165">
        <v>27047</v>
      </c>
      <c r="U165">
        <v>20263</v>
      </c>
      <c r="V165">
        <v>20263</v>
      </c>
      <c r="W165">
        <v>20263</v>
      </c>
      <c r="AA165">
        <v>0</v>
      </c>
      <c r="AC165">
        <v>0</v>
      </c>
      <c r="AD165">
        <v>403</v>
      </c>
      <c r="AE165">
        <v>403</v>
      </c>
      <c r="AF165">
        <v>403</v>
      </c>
      <c r="AG165">
        <v>851</v>
      </c>
      <c r="AI165">
        <v>851</v>
      </c>
      <c r="AM165">
        <v>2616</v>
      </c>
      <c r="AN165">
        <v>2616</v>
      </c>
      <c r="AO165">
        <v>2616</v>
      </c>
      <c r="AP165">
        <v>50468</v>
      </c>
      <c r="AQ165">
        <v>50468</v>
      </c>
      <c r="AR165">
        <v>50468</v>
      </c>
      <c r="AS165">
        <v>11157</v>
      </c>
      <c r="AT165">
        <v>11157</v>
      </c>
      <c r="AU165">
        <v>11157</v>
      </c>
      <c r="AY165">
        <v>5966</v>
      </c>
      <c r="BA165">
        <v>5966</v>
      </c>
      <c r="BB165">
        <v>11157</v>
      </c>
      <c r="BC165">
        <v>11157</v>
      </c>
      <c r="BD165">
        <v>11157</v>
      </c>
      <c r="BE165">
        <v>6784</v>
      </c>
      <c r="BF165">
        <v>6784</v>
      </c>
      <c r="BG165">
        <v>6784</v>
      </c>
      <c r="BH165">
        <v>0</v>
      </c>
      <c r="BJ165">
        <v>0</v>
      </c>
      <c r="BK165">
        <v>0</v>
      </c>
      <c r="BL165">
        <v>13352</v>
      </c>
      <c r="BM165" t="b">
        <f t="shared" si="8"/>
        <v>1</v>
      </c>
      <c r="BN165" t="b">
        <f t="shared" si="9"/>
        <v>1</v>
      </c>
      <c r="BO165">
        <v>187</v>
      </c>
      <c r="BP165">
        <v>187</v>
      </c>
      <c r="BQ165">
        <v>187</v>
      </c>
      <c r="BR165">
        <v>0</v>
      </c>
      <c r="BS165" t="b">
        <f t="shared" si="10"/>
        <v>1</v>
      </c>
      <c r="BT165" t="b">
        <f t="shared" si="11"/>
        <v>1</v>
      </c>
    </row>
    <row r="166" spans="1:72" x14ac:dyDescent="0.35">
      <c r="A166" t="s">
        <v>390</v>
      </c>
      <c r="B166" t="s">
        <v>391</v>
      </c>
      <c r="C166">
        <v>14098</v>
      </c>
      <c r="D166">
        <v>14098</v>
      </c>
      <c r="E166">
        <v>14098</v>
      </c>
      <c r="F166">
        <v>5902</v>
      </c>
      <c r="G166">
        <v>5902</v>
      </c>
      <c r="H166">
        <v>5902</v>
      </c>
      <c r="I166">
        <v>75118671</v>
      </c>
      <c r="J166">
        <v>75118671</v>
      </c>
      <c r="K166">
        <v>75118671</v>
      </c>
      <c r="L166">
        <v>63892715</v>
      </c>
      <c r="M166">
        <v>63892715</v>
      </c>
      <c r="N166">
        <v>63892715</v>
      </c>
      <c r="O166">
        <v>3889203</v>
      </c>
      <c r="P166">
        <v>3889203</v>
      </c>
      <c r="Q166">
        <v>3889203</v>
      </c>
      <c r="R166">
        <v>6205486</v>
      </c>
      <c r="S166">
        <v>6205486</v>
      </c>
      <c r="T166">
        <v>6205486</v>
      </c>
      <c r="U166">
        <v>379374</v>
      </c>
      <c r="V166">
        <v>379374</v>
      </c>
      <c r="W166">
        <v>379374</v>
      </c>
      <c r="AA166">
        <v>18810</v>
      </c>
      <c r="AB166">
        <v>18810</v>
      </c>
      <c r="AC166">
        <v>18810</v>
      </c>
      <c r="AD166">
        <v>46780</v>
      </c>
      <c r="AE166">
        <v>46780</v>
      </c>
      <c r="AF166">
        <v>46780</v>
      </c>
      <c r="AG166">
        <v>77688</v>
      </c>
      <c r="AI166">
        <v>77688</v>
      </c>
      <c r="AJ166">
        <v>54500</v>
      </c>
      <c r="AK166">
        <v>54500</v>
      </c>
      <c r="AL166">
        <v>54500</v>
      </c>
      <c r="AM166">
        <v>563327</v>
      </c>
      <c r="AN166">
        <v>563327</v>
      </c>
      <c r="AO166">
        <v>563327</v>
      </c>
      <c r="AP166">
        <v>2000000</v>
      </c>
      <c r="AQ166">
        <v>2000000</v>
      </c>
      <c r="AR166">
        <v>2000000</v>
      </c>
      <c r="AS166">
        <v>414968</v>
      </c>
      <c r="AT166">
        <v>414968</v>
      </c>
      <c r="AU166">
        <v>414968</v>
      </c>
      <c r="AY166">
        <v>19738208</v>
      </c>
      <c r="AZ166">
        <v>19738208</v>
      </c>
      <c r="BA166">
        <v>19738208</v>
      </c>
      <c r="BE166">
        <v>414968</v>
      </c>
      <c r="BF166">
        <v>414968</v>
      </c>
      <c r="BG166">
        <v>414968</v>
      </c>
      <c r="BK166">
        <v>1</v>
      </c>
      <c r="BM166" t="b">
        <f t="shared" si="8"/>
        <v>0</v>
      </c>
      <c r="BN166" t="b">
        <f t="shared" si="9"/>
        <v>1</v>
      </c>
      <c r="BO166">
        <v>4208</v>
      </c>
      <c r="BP166">
        <v>4208</v>
      </c>
      <c r="BQ166">
        <v>4208</v>
      </c>
      <c r="BR166">
        <v>0</v>
      </c>
      <c r="BS166" t="b">
        <f t="shared" si="10"/>
        <v>1</v>
      </c>
      <c r="BT166" t="b">
        <f t="shared" si="11"/>
        <v>1</v>
      </c>
    </row>
    <row r="167" spans="1:72" x14ac:dyDescent="0.35">
      <c r="A167" t="s">
        <v>392</v>
      </c>
      <c r="B167" t="s">
        <v>393</v>
      </c>
      <c r="C167">
        <v>5000</v>
      </c>
      <c r="D167">
        <v>5000</v>
      </c>
      <c r="E167">
        <v>5000</v>
      </c>
      <c r="F167">
        <v>74</v>
      </c>
      <c r="G167">
        <v>74</v>
      </c>
      <c r="H167">
        <v>74</v>
      </c>
      <c r="J167">
        <v>3431211</v>
      </c>
      <c r="K167">
        <v>3431211</v>
      </c>
      <c r="M167">
        <v>3719228</v>
      </c>
      <c r="N167">
        <v>3719228</v>
      </c>
      <c r="O167">
        <v>550</v>
      </c>
      <c r="P167">
        <v>550</v>
      </c>
      <c r="Q167">
        <v>550</v>
      </c>
      <c r="U167">
        <v>294</v>
      </c>
      <c r="V167">
        <v>294</v>
      </c>
      <c r="W167">
        <v>294</v>
      </c>
      <c r="AA167">
        <v>84</v>
      </c>
      <c r="AB167">
        <v>84</v>
      </c>
      <c r="AC167">
        <v>84</v>
      </c>
      <c r="AD167">
        <v>30804</v>
      </c>
      <c r="AE167">
        <v>30804</v>
      </c>
      <c r="AF167">
        <v>30804</v>
      </c>
      <c r="AG167">
        <v>10851</v>
      </c>
      <c r="AI167">
        <v>10851</v>
      </c>
      <c r="AM167">
        <v>55069</v>
      </c>
      <c r="AN167">
        <v>55069</v>
      </c>
      <c r="AO167">
        <v>55069</v>
      </c>
      <c r="AP167">
        <v>146773</v>
      </c>
      <c r="AQ167">
        <v>146773</v>
      </c>
      <c r="AR167">
        <v>146773</v>
      </c>
      <c r="AS167">
        <v>124710</v>
      </c>
      <c r="AT167">
        <v>124710</v>
      </c>
      <c r="AU167">
        <v>124710</v>
      </c>
      <c r="AV167">
        <v>50676</v>
      </c>
      <c r="AW167">
        <v>50676</v>
      </c>
      <c r="AX167">
        <v>50676</v>
      </c>
      <c r="AY167">
        <v>13842</v>
      </c>
      <c r="AZ167">
        <v>13842</v>
      </c>
      <c r="BA167">
        <v>13842</v>
      </c>
      <c r="BB167">
        <v>216</v>
      </c>
      <c r="BC167">
        <v>216</v>
      </c>
      <c r="BD167">
        <v>216</v>
      </c>
      <c r="BH167">
        <v>234</v>
      </c>
      <c r="BI167">
        <v>234</v>
      </c>
      <c r="BJ167">
        <v>234</v>
      </c>
      <c r="BK167">
        <v>1</v>
      </c>
      <c r="BM167" t="b">
        <f t="shared" si="8"/>
        <v>0</v>
      </c>
      <c r="BN167" t="b">
        <f t="shared" si="9"/>
        <v>1</v>
      </c>
      <c r="BO167">
        <v>1048</v>
      </c>
      <c r="BP167">
        <v>1048</v>
      </c>
      <c r="BQ167">
        <v>1048</v>
      </c>
      <c r="BR167">
        <v>0</v>
      </c>
      <c r="BS167" t="b">
        <f t="shared" si="10"/>
        <v>1</v>
      </c>
      <c r="BT167" t="b">
        <f t="shared" si="11"/>
        <v>1</v>
      </c>
    </row>
    <row r="168" spans="1:72" x14ac:dyDescent="0.35">
      <c r="A168" t="s">
        <v>394</v>
      </c>
      <c r="B168" t="s">
        <v>395</v>
      </c>
      <c r="D168">
        <v>57923</v>
      </c>
      <c r="E168">
        <v>57923</v>
      </c>
      <c r="G168">
        <v>195</v>
      </c>
      <c r="H168">
        <v>195</v>
      </c>
      <c r="J168">
        <v>2851481</v>
      </c>
      <c r="K168">
        <v>2851481</v>
      </c>
      <c r="M168">
        <v>2814962</v>
      </c>
      <c r="N168">
        <v>2814962</v>
      </c>
      <c r="P168">
        <v>114714</v>
      </c>
      <c r="Q168">
        <v>114714</v>
      </c>
      <c r="S168">
        <v>654</v>
      </c>
      <c r="T168">
        <v>654</v>
      </c>
      <c r="V168">
        <v>8487</v>
      </c>
      <c r="W168">
        <v>8487</v>
      </c>
      <c r="AB168">
        <v>107191</v>
      </c>
      <c r="AC168">
        <v>107191</v>
      </c>
      <c r="AE168">
        <v>1712</v>
      </c>
      <c r="AF168">
        <v>1712</v>
      </c>
      <c r="AH168">
        <v>7620</v>
      </c>
      <c r="AI168">
        <v>7620</v>
      </c>
      <c r="AN168">
        <v>179131</v>
      </c>
      <c r="AO168">
        <v>179131</v>
      </c>
      <c r="AQ168">
        <v>127633</v>
      </c>
      <c r="AR168">
        <v>127633</v>
      </c>
      <c r="AT168">
        <v>300</v>
      </c>
      <c r="AU168">
        <v>300</v>
      </c>
      <c r="AW168">
        <v>13828</v>
      </c>
      <c r="AX168">
        <v>13828</v>
      </c>
      <c r="AZ168">
        <v>49139</v>
      </c>
      <c r="BA168">
        <v>49139</v>
      </c>
      <c r="BC168">
        <v>127633</v>
      </c>
      <c r="BD168">
        <v>127633</v>
      </c>
      <c r="BF168">
        <v>46261</v>
      </c>
      <c r="BG168">
        <v>46261</v>
      </c>
      <c r="BI168">
        <v>129494</v>
      </c>
      <c r="BJ168">
        <v>129494</v>
      </c>
      <c r="BM168" t="b">
        <f t="shared" si="8"/>
        <v>0</v>
      </c>
      <c r="BN168" t="b">
        <f t="shared" si="9"/>
        <v>0</v>
      </c>
      <c r="BP168">
        <v>1767</v>
      </c>
      <c r="BQ168">
        <v>1767</v>
      </c>
      <c r="BS168" t="b">
        <f t="shared" si="10"/>
        <v>1</v>
      </c>
      <c r="BT168" t="b">
        <f t="shared" si="11"/>
        <v>1</v>
      </c>
    </row>
    <row r="169" spans="1:72" x14ac:dyDescent="0.35">
      <c r="A169" t="s">
        <v>396</v>
      </c>
      <c r="B169" t="s">
        <v>397</v>
      </c>
      <c r="C169">
        <v>46937</v>
      </c>
      <c r="E169">
        <v>46937</v>
      </c>
      <c r="F169">
        <v>120</v>
      </c>
      <c r="G169">
        <v>120</v>
      </c>
      <c r="H169">
        <v>120</v>
      </c>
      <c r="I169">
        <v>3824736</v>
      </c>
      <c r="K169">
        <v>3824736</v>
      </c>
      <c r="L169">
        <v>3779730</v>
      </c>
      <c r="M169">
        <v>3779730</v>
      </c>
      <c r="N169">
        <v>3779730</v>
      </c>
      <c r="O169">
        <v>1149404</v>
      </c>
      <c r="P169">
        <v>1149404</v>
      </c>
      <c r="Q169">
        <v>1149404</v>
      </c>
      <c r="R169">
        <v>3045395</v>
      </c>
      <c r="S169">
        <v>3045395</v>
      </c>
      <c r="T169">
        <v>3045395</v>
      </c>
      <c r="U169">
        <v>1275475</v>
      </c>
      <c r="V169">
        <v>1275475</v>
      </c>
      <c r="W169">
        <v>1275475</v>
      </c>
      <c r="AD169">
        <v>18490</v>
      </c>
      <c r="AE169">
        <v>18490</v>
      </c>
      <c r="AF169">
        <v>18490</v>
      </c>
      <c r="AG169">
        <v>75996</v>
      </c>
      <c r="AI169">
        <v>75996</v>
      </c>
      <c r="AP169">
        <v>2613753</v>
      </c>
      <c r="AQ169">
        <v>2613753</v>
      </c>
      <c r="AR169">
        <v>2613753</v>
      </c>
      <c r="AV169">
        <v>240906</v>
      </c>
      <c r="AW169">
        <v>240906</v>
      </c>
      <c r="AX169">
        <v>240906</v>
      </c>
      <c r="AY169">
        <v>534224</v>
      </c>
      <c r="AZ169">
        <v>534224</v>
      </c>
      <c r="BA169">
        <v>534224</v>
      </c>
      <c r="BB169">
        <v>16496</v>
      </c>
      <c r="BC169">
        <v>16496</v>
      </c>
      <c r="BD169">
        <v>16496</v>
      </c>
      <c r="BE169">
        <v>61173</v>
      </c>
      <c r="BF169">
        <v>61173</v>
      </c>
      <c r="BG169">
        <v>61173</v>
      </c>
      <c r="BK169">
        <v>0</v>
      </c>
      <c r="BL169">
        <v>4768</v>
      </c>
      <c r="BM169" t="b">
        <f t="shared" si="8"/>
        <v>1</v>
      </c>
      <c r="BN169" t="b">
        <f t="shared" si="9"/>
        <v>1</v>
      </c>
      <c r="BO169">
        <v>2431</v>
      </c>
      <c r="BQ169">
        <v>2431</v>
      </c>
      <c r="BR169">
        <v>0</v>
      </c>
      <c r="BS169" t="b">
        <f t="shared" si="10"/>
        <v>1</v>
      </c>
      <c r="BT169" t="b">
        <f t="shared" si="11"/>
        <v>1</v>
      </c>
    </row>
    <row r="170" spans="1:72" x14ac:dyDescent="0.35">
      <c r="A170" t="s">
        <v>398</v>
      </c>
      <c r="B170" t="s">
        <v>399</v>
      </c>
      <c r="D170">
        <v>63526</v>
      </c>
      <c r="E170">
        <v>63526</v>
      </c>
      <c r="G170">
        <v>11514</v>
      </c>
      <c r="H170">
        <v>11514</v>
      </c>
      <c r="J170">
        <v>233449</v>
      </c>
      <c r="K170">
        <v>233449</v>
      </c>
      <c r="M170">
        <v>108401</v>
      </c>
      <c r="N170">
        <v>108401</v>
      </c>
      <c r="P170">
        <v>625478</v>
      </c>
      <c r="Q170">
        <v>625478</v>
      </c>
      <c r="S170">
        <v>4321398</v>
      </c>
      <c r="T170">
        <v>4321398</v>
      </c>
      <c r="V170">
        <v>2568</v>
      </c>
      <c r="W170">
        <v>2568</v>
      </c>
      <c r="AB170">
        <v>11516</v>
      </c>
      <c r="AC170">
        <v>11516</v>
      </c>
      <c r="AH170">
        <v>289</v>
      </c>
      <c r="AI170">
        <v>289</v>
      </c>
      <c r="AQ170">
        <v>4318332</v>
      </c>
      <c r="AR170">
        <v>4318332</v>
      </c>
      <c r="AT170">
        <v>80</v>
      </c>
      <c r="AU170">
        <v>80</v>
      </c>
      <c r="AW170">
        <v>519862</v>
      </c>
      <c r="AX170">
        <v>519862</v>
      </c>
      <c r="AZ170">
        <v>35641</v>
      </c>
      <c r="BA170">
        <v>35641</v>
      </c>
      <c r="BC170">
        <v>7000</v>
      </c>
      <c r="BD170">
        <v>7000</v>
      </c>
      <c r="BF170">
        <v>407</v>
      </c>
      <c r="BG170">
        <v>407</v>
      </c>
      <c r="BI170">
        <v>420</v>
      </c>
      <c r="BJ170">
        <v>420</v>
      </c>
      <c r="BM170" t="b">
        <f t="shared" si="8"/>
        <v>0</v>
      </c>
      <c r="BN170" t="b">
        <f t="shared" si="9"/>
        <v>0</v>
      </c>
      <c r="BP170">
        <v>203</v>
      </c>
      <c r="BQ170">
        <v>203</v>
      </c>
      <c r="BS170" t="b">
        <f t="shared" si="10"/>
        <v>1</v>
      </c>
      <c r="BT170" t="b">
        <f t="shared" si="11"/>
        <v>1</v>
      </c>
    </row>
    <row r="171" spans="1:72" x14ac:dyDescent="0.35">
      <c r="A171" t="s">
        <v>400</v>
      </c>
      <c r="B171" t="s">
        <v>401</v>
      </c>
      <c r="D171">
        <v>10538</v>
      </c>
      <c r="E171">
        <v>10538</v>
      </c>
      <c r="G171">
        <v>67</v>
      </c>
      <c r="H171">
        <v>67</v>
      </c>
      <c r="J171">
        <v>2688553</v>
      </c>
      <c r="K171">
        <v>2688553</v>
      </c>
      <c r="M171">
        <v>2415829</v>
      </c>
      <c r="N171">
        <v>2415829</v>
      </c>
      <c r="P171">
        <v>53645</v>
      </c>
      <c r="Q171">
        <v>53645</v>
      </c>
      <c r="V171">
        <v>170785</v>
      </c>
      <c r="W171">
        <v>170785</v>
      </c>
      <c r="AB171">
        <v>2396</v>
      </c>
      <c r="AC171">
        <v>2396</v>
      </c>
      <c r="AE171">
        <v>2445</v>
      </c>
      <c r="AF171">
        <v>2445</v>
      </c>
      <c r="AH171">
        <v>420</v>
      </c>
      <c r="AI171">
        <v>420</v>
      </c>
      <c r="AN171">
        <v>10823</v>
      </c>
      <c r="AO171">
        <v>10823</v>
      </c>
      <c r="AQ171">
        <v>12507</v>
      </c>
      <c r="AR171">
        <v>12507</v>
      </c>
      <c r="AT171">
        <v>246</v>
      </c>
      <c r="AU171">
        <v>246</v>
      </c>
      <c r="AW171">
        <v>3843</v>
      </c>
      <c r="AX171">
        <v>3843</v>
      </c>
      <c r="AZ171">
        <v>283</v>
      </c>
      <c r="BA171">
        <v>283</v>
      </c>
      <c r="BC171">
        <v>8058</v>
      </c>
      <c r="BD171">
        <v>8058</v>
      </c>
      <c r="BF171">
        <v>1000</v>
      </c>
      <c r="BG171">
        <v>1000</v>
      </c>
      <c r="BI171">
        <v>420</v>
      </c>
      <c r="BJ171">
        <v>420</v>
      </c>
      <c r="BM171" t="b">
        <f t="shared" si="8"/>
        <v>0</v>
      </c>
      <c r="BN171" t="b">
        <f t="shared" si="9"/>
        <v>0</v>
      </c>
      <c r="BP171">
        <v>583</v>
      </c>
      <c r="BQ171">
        <v>583</v>
      </c>
      <c r="BS171" t="b">
        <f t="shared" si="10"/>
        <v>1</v>
      </c>
      <c r="BT171" t="b">
        <f t="shared" si="11"/>
        <v>1</v>
      </c>
    </row>
    <row r="172" spans="1:72" x14ac:dyDescent="0.35">
      <c r="A172" t="s">
        <v>402</v>
      </c>
      <c r="B172" t="s">
        <v>403</v>
      </c>
      <c r="D172">
        <v>631</v>
      </c>
      <c r="E172">
        <v>631</v>
      </c>
      <c r="G172">
        <v>142</v>
      </c>
      <c r="H172">
        <v>142</v>
      </c>
      <c r="J172">
        <v>1314484</v>
      </c>
      <c r="K172">
        <v>1314484</v>
      </c>
      <c r="M172">
        <v>1233866</v>
      </c>
      <c r="N172">
        <v>1233866</v>
      </c>
      <c r="P172">
        <v>3582</v>
      </c>
      <c r="Q172">
        <v>3582</v>
      </c>
      <c r="S172">
        <v>9356</v>
      </c>
      <c r="T172">
        <v>9356</v>
      </c>
      <c r="V172">
        <v>48950</v>
      </c>
      <c r="W172">
        <v>48950</v>
      </c>
      <c r="AE172">
        <v>43</v>
      </c>
      <c r="AF172">
        <v>43</v>
      </c>
      <c r="AH172">
        <v>6570</v>
      </c>
      <c r="AI172">
        <v>6570</v>
      </c>
      <c r="AQ172">
        <v>986767</v>
      </c>
      <c r="AR172">
        <v>986767</v>
      </c>
      <c r="AZ172">
        <v>4474</v>
      </c>
      <c r="BA172">
        <v>4474</v>
      </c>
      <c r="BF172">
        <v>573</v>
      </c>
      <c r="BG172">
        <v>573</v>
      </c>
      <c r="BM172" t="b">
        <f t="shared" si="8"/>
        <v>0</v>
      </c>
      <c r="BN172" t="b">
        <f t="shared" si="9"/>
        <v>0</v>
      </c>
      <c r="BP172">
        <v>312</v>
      </c>
      <c r="BQ172">
        <v>312</v>
      </c>
      <c r="BS172" t="b">
        <f t="shared" si="10"/>
        <v>1</v>
      </c>
      <c r="BT172" t="b">
        <f t="shared" si="11"/>
        <v>1</v>
      </c>
    </row>
    <row r="173" spans="1:72" x14ac:dyDescent="0.35">
      <c r="A173" t="s">
        <v>404</v>
      </c>
      <c r="B173" t="s">
        <v>405</v>
      </c>
      <c r="C173">
        <v>3210</v>
      </c>
      <c r="D173">
        <v>4408</v>
      </c>
      <c r="E173">
        <v>3210</v>
      </c>
      <c r="F173">
        <v>123</v>
      </c>
      <c r="G173">
        <v>135</v>
      </c>
      <c r="H173">
        <v>123</v>
      </c>
      <c r="J173">
        <v>1753947</v>
      </c>
      <c r="K173">
        <v>1753947</v>
      </c>
      <c r="M173">
        <v>980403</v>
      </c>
      <c r="N173">
        <v>980403</v>
      </c>
      <c r="P173">
        <v>154</v>
      </c>
      <c r="Q173">
        <v>154</v>
      </c>
      <c r="V173">
        <v>23470</v>
      </c>
      <c r="W173">
        <v>23470</v>
      </c>
      <c r="AE173">
        <v>1180</v>
      </c>
      <c r="AF173">
        <v>1180</v>
      </c>
      <c r="AH173">
        <v>1120</v>
      </c>
      <c r="AI173">
        <v>1120</v>
      </c>
      <c r="AQ173">
        <v>1928</v>
      </c>
      <c r="AR173">
        <v>1928</v>
      </c>
      <c r="AT173">
        <v>3894</v>
      </c>
      <c r="AU173">
        <v>3894</v>
      </c>
      <c r="AZ173">
        <v>1549</v>
      </c>
      <c r="BA173">
        <v>1549</v>
      </c>
      <c r="BC173">
        <v>249</v>
      </c>
      <c r="BD173">
        <v>249</v>
      </c>
      <c r="BF173">
        <v>10871</v>
      </c>
      <c r="BG173">
        <v>10871</v>
      </c>
      <c r="BI173">
        <v>46570</v>
      </c>
      <c r="BJ173">
        <v>46570</v>
      </c>
      <c r="BM173" t="b">
        <f t="shared" si="8"/>
        <v>0</v>
      </c>
      <c r="BN173" t="b">
        <f t="shared" si="9"/>
        <v>0</v>
      </c>
      <c r="BP173">
        <v>9517</v>
      </c>
      <c r="BQ173">
        <v>9517</v>
      </c>
      <c r="BS173" t="b">
        <f t="shared" si="10"/>
        <v>1</v>
      </c>
      <c r="BT173" t="b">
        <f t="shared" si="11"/>
        <v>1</v>
      </c>
    </row>
    <row r="174" spans="1:72" x14ac:dyDescent="0.35">
      <c r="A174" t="s">
        <v>406</v>
      </c>
      <c r="B174" t="s">
        <v>407</v>
      </c>
      <c r="D174">
        <v>16</v>
      </c>
      <c r="E174">
        <v>16</v>
      </c>
      <c r="G174">
        <v>17</v>
      </c>
      <c r="H174">
        <v>17</v>
      </c>
      <c r="J174">
        <v>1097933</v>
      </c>
      <c r="K174">
        <v>1097933</v>
      </c>
      <c r="M174">
        <v>1022696</v>
      </c>
      <c r="N174">
        <v>1022696</v>
      </c>
      <c r="P174">
        <v>1773</v>
      </c>
      <c r="Q174">
        <v>1773</v>
      </c>
      <c r="S174">
        <v>1349</v>
      </c>
      <c r="T174">
        <v>1349</v>
      </c>
      <c r="V174">
        <v>91</v>
      </c>
      <c r="W174">
        <v>91</v>
      </c>
      <c r="AB174">
        <v>207</v>
      </c>
      <c r="AC174">
        <v>207</v>
      </c>
      <c r="AE174">
        <v>1816</v>
      </c>
      <c r="AF174">
        <v>1816</v>
      </c>
      <c r="AN174">
        <v>2947</v>
      </c>
      <c r="AO174">
        <v>2947</v>
      </c>
      <c r="AQ174">
        <v>1474</v>
      </c>
      <c r="AR174">
        <v>1474</v>
      </c>
      <c r="AZ174">
        <v>2548</v>
      </c>
      <c r="BA174">
        <v>2548</v>
      </c>
      <c r="BF174">
        <v>1515</v>
      </c>
      <c r="BG174">
        <v>1515</v>
      </c>
      <c r="BI174">
        <v>691</v>
      </c>
      <c r="BJ174">
        <v>691</v>
      </c>
      <c r="BM174" t="b">
        <f t="shared" si="8"/>
        <v>0</v>
      </c>
      <c r="BN174" t="b">
        <f t="shared" si="9"/>
        <v>0</v>
      </c>
      <c r="BP174">
        <v>1053</v>
      </c>
      <c r="BQ174">
        <v>1053</v>
      </c>
      <c r="BS174" t="b">
        <f t="shared" si="10"/>
        <v>1</v>
      </c>
      <c r="BT174" t="b">
        <f t="shared" si="11"/>
        <v>1</v>
      </c>
    </row>
    <row r="175" spans="1:72" x14ac:dyDescent="0.35">
      <c r="A175" t="s">
        <v>408</v>
      </c>
      <c r="B175" t="s">
        <v>409</v>
      </c>
      <c r="C175">
        <v>376423</v>
      </c>
      <c r="D175">
        <v>376423</v>
      </c>
      <c r="E175">
        <v>376423</v>
      </c>
      <c r="F175">
        <v>9271</v>
      </c>
      <c r="G175">
        <v>6140</v>
      </c>
      <c r="H175">
        <v>9271</v>
      </c>
      <c r="I175">
        <v>829791126</v>
      </c>
      <c r="J175">
        <v>829791126</v>
      </c>
      <c r="K175">
        <v>829791126</v>
      </c>
      <c r="L175">
        <v>816317034</v>
      </c>
      <c r="M175">
        <v>816317034</v>
      </c>
      <c r="N175">
        <v>816317034</v>
      </c>
      <c r="O175">
        <v>813169</v>
      </c>
      <c r="P175">
        <v>813169</v>
      </c>
      <c r="Q175">
        <v>813169</v>
      </c>
      <c r="R175">
        <v>25341400</v>
      </c>
      <c r="S175">
        <v>25341400</v>
      </c>
      <c r="T175">
        <v>25341400</v>
      </c>
      <c r="U175">
        <v>400241</v>
      </c>
      <c r="V175">
        <v>400241</v>
      </c>
      <c r="W175">
        <v>400241</v>
      </c>
      <c r="AA175">
        <v>79168</v>
      </c>
      <c r="AB175">
        <v>79168</v>
      </c>
      <c r="AC175">
        <v>79168</v>
      </c>
      <c r="AD175">
        <v>11003814</v>
      </c>
      <c r="AE175">
        <v>11003814</v>
      </c>
      <c r="AF175">
        <v>11003814</v>
      </c>
      <c r="AG175">
        <v>17740</v>
      </c>
      <c r="AI175">
        <v>17740</v>
      </c>
      <c r="AJ175">
        <v>17740</v>
      </c>
      <c r="AK175">
        <v>17740</v>
      </c>
      <c r="AL175">
        <v>17740</v>
      </c>
      <c r="AM175">
        <v>4732021</v>
      </c>
      <c r="AN175">
        <v>4732021</v>
      </c>
      <c r="AO175">
        <v>4732021</v>
      </c>
      <c r="AP175">
        <v>2095387</v>
      </c>
      <c r="AQ175">
        <v>2095387</v>
      </c>
      <c r="AR175">
        <v>2095387</v>
      </c>
      <c r="AS175">
        <v>5969</v>
      </c>
      <c r="AT175">
        <v>5969</v>
      </c>
      <c r="AU175">
        <v>5969</v>
      </c>
      <c r="AY175">
        <v>238656</v>
      </c>
      <c r="AZ175">
        <v>238656</v>
      </c>
      <c r="BA175">
        <v>238656</v>
      </c>
      <c r="BB175">
        <v>5982676</v>
      </c>
      <c r="BC175">
        <v>5982676</v>
      </c>
      <c r="BD175">
        <v>5982676</v>
      </c>
      <c r="BE175">
        <v>613483</v>
      </c>
      <c r="BF175">
        <v>613483</v>
      </c>
      <c r="BG175">
        <v>613483</v>
      </c>
      <c r="BH175">
        <v>154505</v>
      </c>
      <c r="BI175">
        <v>154505</v>
      </c>
      <c r="BJ175">
        <v>154505</v>
      </c>
      <c r="BK175">
        <v>0</v>
      </c>
      <c r="BL175">
        <v>2309529</v>
      </c>
      <c r="BM175" t="b">
        <f t="shared" si="8"/>
        <v>1</v>
      </c>
      <c r="BN175" t="b">
        <f t="shared" si="9"/>
        <v>1</v>
      </c>
      <c r="BO175">
        <v>501777</v>
      </c>
      <c r="BP175">
        <v>501777</v>
      </c>
      <c r="BQ175">
        <v>501777</v>
      </c>
      <c r="BR175">
        <v>0</v>
      </c>
      <c r="BS175" t="b">
        <f t="shared" si="10"/>
        <v>1</v>
      </c>
      <c r="BT175" t="b">
        <f t="shared" si="11"/>
        <v>1</v>
      </c>
    </row>
    <row r="176" spans="1:72" x14ac:dyDescent="0.35">
      <c r="A176" t="s">
        <v>410</v>
      </c>
      <c r="B176" t="s">
        <v>411</v>
      </c>
      <c r="D176">
        <v>508</v>
      </c>
      <c r="E176">
        <v>508</v>
      </c>
      <c r="G176">
        <v>23</v>
      </c>
      <c r="H176">
        <v>23</v>
      </c>
      <c r="I176">
        <v>686947</v>
      </c>
      <c r="J176">
        <v>686947</v>
      </c>
      <c r="K176">
        <v>686947</v>
      </c>
      <c r="L176">
        <v>859081</v>
      </c>
      <c r="M176">
        <v>859081</v>
      </c>
      <c r="N176">
        <v>859081</v>
      </c>
      <c r="P176">
        <v>450</v>
      </c>
      <c r="Q176">
        <v>450</v>
      </c>
      <c r="S176">
        <v>735</v>
      </c>
      <c r="T176">
        <v>735</v>
      </c>
      <c r="V176">
        <v>393</v>
      </c>
      <c r="W176">
        <v>393</v>
      </c>
      <c r="AB176">
        <v>42</v>
      </c>
      <c r="AC176">
        <v>42</v>
      </c>
      <c r="AE176">
        <v>12</v>
      </c>
      <c r="AF176">
        <v>12</v>
      </c>
      <c r="AN176">
        <v>2788</v>
      </c>
      <c r="AO176">
        <v>2788</v>
      </c>
      <c r="AQ176">
        <v>416</v>
      </c>
      <c r="AR176">
        <v>416</v>
      </c>
      <c r="BC176">
        <v>2788</v>
      </c>
      <c r="BD176">
        <v>2788</v>
      </c>
      <c r="BM176" t="b">
        <f t="shared" si="8"/>
        <v>0</v>
      </c>
      <c r="BN176" t="b">
        <f t="shared" si="9"/>
        <v>0</v>
      </c>
      <c r="BP176">
        <v>1230</v>
      </c>
      <c r="BQ176">
        <v>1230</v>
      </c>
      <c r="BS176" t="b">
        <f t="shared" si="10"/>
        <v>1</v>
      </c>
      <c r="BT176" t="b">
        <f t="shared" si="11"/>
        <v>1</v>
      </c>
    </row>
    <row r="177" spans="1:72" x14ac:dyDescent="0.35">
      <c r="A177" t="s">
        <v>412</v>
      </c>
      <c r="B177" t="s">
        <v>413</v>
      </c>
      <c r="D177">
        <v>193</v>
      </c>
      <c r="E177">
        <v>193</v>
      </c>
      <c r="G177">
        <v>10</v>
      </c>
      <c r="H177">
        <v>10</v>
      </c>
      <c r="J177">
        <v>352830</v>
      </c>
      <c r="K177">
        <v>352830</v>
      </c>
      <c r="M177">
        <v>243112</v>
      </c>
      <c r="N177">
        <v>243112</v>
      </c>
      <c r="P177">
        <v>4350</v>
      </c>
      <c r="Q177">
        <v>4350</v>
      </c>
      <c r="S177">
        <v>253</v>
      </c>
      <c r="T177">
        <v>253</v>
      </c>
      <c r="V177">
        <v>197</v>
      </c>
      <c r="W177">
        <v>197</v>
      </c>
      <c r="AB177">
        <v>164</v>
      </c>
      <c r="AC177">
        <v>164</v>
      </c>
      <c r="AH177">
        <v>400</v>
      </c>
      <c r="AI177">
        <v>400</v>
      </c>
      <c r="AZ177">
        <v>1877</v>
      </c>
      <c r="BA177">
        <v>1877</v>
      </c>
      <c r="BF177">
        <v>167</v>
      </c>
      <c r="BG177">
        <v>167</v>
      </c>
      <c r="BM177" t="b">
        <f t="shared" si="8"/>
        <v>0</v>
      </c>
      <c r="BN177" t="b">
        <f t="shared" si="9"/>
        <v>0</v>
      </c>
      <c r="BP177">
        <v>40</v>
      </c>
      <c r="BQ177">
        <v>40</v>
      </c>
      <c r="BS177" t="b">
        <f t="shared" si="10"/>
        <v>1</v>
      </c>
      <c r="BT177" t="b">
        <f t="shared" si="11"/>
        <v>1</v>
      </c>
    </row>
    <row r="178" spans="1:72" x14ac:dyDescent="0.35">
      <c r="A178" t="s">
        <v>414</v>
      </c>
      <c r="B178" t="s">
        <v>415</v>
      </c>
      <c r="C178">
        <v>118729</v>
      </c>
      <c r="E178">
        <v>118729</v>
      </c>
      <c r="F178">
        <v>188</v>
      </c>
      <c r="G178">
        <v>188</v>
      </c>
      <c r="H178">
        <v>188</v>
      </c>
      <c r="I178">
        <v>2413856</v>
      </c>
      <c r="J178">
        <v>2413856</v>
      </c>
      <c r="K178">
        <v>2413856</v>
      </c>
      <c r="L178">
        <v>2412728</v>
      </c>
      <c r="M178">
        <v>2412728</v>
      </c>
      <c r="N178">
        <v>2412728</v>
      </c>
      <c r="O178">
        <v>205148</v>
      </c>
      <c r="P178">
        <v>205148</v>
      </c>
      <c r="Q178">
        <v>205148</v>
      </c>
      <c r="R178">
        <v>241927</v>
      </c>
      <c r="S178">
        <v>241927</v>
      </c>
      <c r="T178">
        <v>241927</v>
      </c>
      <c r="U178">
        <v>843937</v>
      </c>
      <c r="V178">
        <v>843937</v>
      </c>
      <c r="W178">
        <v>843937</v>
      </c>
      <c r="AA178">
        <v>34788</v>
      </c>
      <c r="AB178">
        <v>34788</v>
      </c>
      <c r="AC178">
        <v>34788</v>
      </c>
      <c r="AD178">
        <v>5798</v>
      </c>
      <c r="AE178">
        <v>5798</v>
      </c>
      <c r="AF178">
        <v>5798</v>
      </c>
      <c r="AG178">
        <v>599041</v>
      </c>
      <c r="AI178">
        <v>599041</v>
      </c>
      <c r="AJ178">
        <v>299692</v>
      </c>
      <c r="AK178">
        <v>299692</v>
      </c>
      <c r="AL178">
        <v>299692</v>
      </c>
      <c r="AM178">
        <v>14166</v>
      </c>
      <c r="AN178">
        <v>14166</v>
      </c>
      <c r="AO178">
        <v>14166</v>
      </c>
      <c r="AP178">
        <v>1161213</v>
      </c>
      <c r="AQ178">
        <v>1161213</v>
      </c>
      <c r="AR178">
        <v>1161213</v>
      </c>
      <c r="AS178">
        <v>34135</v>
      </c>
      <c r="AT178">
        <v>34135</v>
      </c>
      <c r="AU178">
        <v>34135</v>
      </c>
      <c r="AV178">
        <v>0</v>
      </c>
      <c r="AX178">
        <v>0</v>
      </c>
      <c r="AY178">
        <v>5640327</v>
      </c>
      <c r="AZ178">
        <v>5640327</v>
      </c>
      <c r="BA178">
        <v>5640327</v>
      </c>
      <c r="BB178">
        <v>297608</v>
      </c>
      <c r="BC178">
        <v>297608</v>
      </c>
      <c r="BD178">
        <v>297608</v>
      </c>
      <c r="BE178">
        <v>297608</v>
      </c>
      <c r="BF178">
        <v>297608</v>
      </c>
      <c r="BG178">
        <v>297608</v>
      </c>
      <c r="BH178">
        <v>297608</v>
      </c>
      <c r="BI178">
        <v>297608</v>
      </c>
      <c r="BJ178">
        <v>297608</v>
      </c>
      <c r="BK178">
        <v>0</v>
      </c>
      <c r="BL178">
        <v>17652</v>
      </c>
      <c r="BM178" t="b">
        <f t="shared" si="8"/>
        <v>1</v>
      </c>
      <c r="BN178" t="b">
        <f t="shared" si="9"/>
        <v>1</v>
      </c>
      <c r="BO178">
        <v>100</v>
      </c>
      <c r="BP178">
        <v>100</v>
      </c>
      <c r="BQ178">
        <v>100</v>
      </c>
      <c r="BR178">
        <v>0</v>
      </c>
      <c r="BS178" t="b">
        <f t="shared" si="10"/>
        <v>1</v>
      </c>
      <c r="BT178" t="b">
        <f t="shared" si="11"/>
        <v>1</v>
      </c>
    </row>
    <row r="179" spans="1:72" x14ac:dyDescent="0.35">
      <c r="A179" t="s">
        <v>416</v>
      </c>
      <c r="B179" t="s">
        <v>417</v>
      </c>
      <c r="D179">
        <v>7305</v>
      </c>
      <c r="E179">
        <v>7305</v>
      </c>
      <c r="G179">
        <v>300</v>
      </c>
      <c r="H179">
        <v>300</v>
      </c>
      <c r="J179">
        <v>209681360</v>
      </c>
      <c r="K179">
        <v>209681360</v>
      </c>
      <c r="M179">
        <v>172256316</v>
      </c>
      <c r="N179">
        <v>172256316</v>
      </c>
      <c r="P179">
        <v>11790371</v>
      </c>
      <c r="Q179">
        <v>11790371</v>
      </c>
      <c r="AB179">
        <v>2068452</v>
      </c>
      <c r="AC179">
        <v>2068452</v>
      </c>
      <c r="AN179">
        <v>474452</v>
      </c>
      <c r="AO179">
        <v>474452</v>
      </c>
      <c r="AQ179">
        <v>226022</v>
      </c>
      <c r="AR179">
        <v>226022</v>
      </c>
      <c r="AT179">
        <v>322851</v>
      </c>
      <c r="AU179">
        <v>322851</v>
      </c>
      <c r="AZ179">
        <v>820340</v>
      </c>
      <c r="BA179">
        <v>820340</v>
      </c>
      <c r="BC179">
        <v>396387</v>
      </c>
      <c r="BD179">
        <v>396387</v>
      </c>
      <c r="BF179">
        <v>82989</v>
      </c>
      <c r="BG179">
        <v>82989</v>
      </c>
      <c r="BM179" t="b">
        <f t="shared" si="8"/>
        <v>0</v>
      </c>
      <c r="BN179" t="b">
        <f t="shared" si="9"/>
        <v>0</v>
      </c>
      <c r="BP179">
        <v>308338</v>
      </c>
      <c r="BQ179">
        <v>308338</v>
      </c>
      <c r="BS179" t="b">
        <f t="shared" si="10"/>
        <v>1</v>
      </c>
      <c r="BT179" t="b">
        <f t="shared" si="11"/>
        <v>1</v>
      </c>
    </row>
    <row r="180" spans="1:72" x14ac:dyDescent="0.35">
      <c r="A180" t="s">
        <v>418</v>
      </c>
      <c r="B180" t="s">
        <v>419</v>
      </c>
      <c r="C180">
        <v>16687</v>
      </c>
      <c r="D180">
        <v>16687</v>
      </c>
      <c r="E180">
        <v>16687</v>
      </c>
      <c r="F180">
        <v>227</v>
      </c>
      <c r="G180">
        <v>227</v>
      </c>
      <c r="H180">
        <v>227</v>
      </c>
      <c r="I180">
        <v>14311677</v>
      </c>
      <c r="J180">
        <v>14311677</v>
      </c>
      <c r="K180">
        <v>14311677</v>
      </c>
      <c r="L180">
        <v>10387318</v>
      </c>
      <c r="M180">
        <v>10387318</v>
      </c>
      <c r="N180">
        <v>10387318</v>
      </c>
      <c r="P180">
        <v>96661</v>
      </c>
      <c r="Q180">
        <v>96661</v>
      </c>
      <c r="V180">
        <v>770794</v>
      </c>
      <c r="W180">
        <v>770794</v>
      </c>
      <c r="AB180">
        <v>1588</v>
      </c>
      <c r="AC180">
        <v>1588</v>
      </c>
      <c r="AE180">
        <v>21579</v>
      </c>
      <c r="AF180">
        <v>21579</v>
      </c>
      <c r="AH180">
        <v>54515</v>
      </c>
      <c r="AI180">
        <v>54515</v>
      </c>
      <c r="AN180">
        <v>19755</v>
      </c>
      <c r="AO180">
        <v>19755</v>
      </c>
      <c r="AQ180">
        <v>308116</v>
      </c>
      <c r="AR180">
        <v>308116</v>
      </c>
      <c r="AT180">
        <v>1664</v>
      </c>
      <c r="AU180">
        <v>1664</v>
      </c>
      <c r="AZ180">
        <v>53809</v>
      </c>
      <c r="BA180">
        <v>53809</v>
      </c>
      <c r="BC180">
        <v>133191</v>
      </c>
      <c r="BD180">
        <v>133191</v>
      </c>
      <c r="BF180">
        <v>2093</v>
      </c>
      <c r="BG180">
        <v>2093</v>
      </c>
      <c r="BI180">
        <v>268</v>
      </c>
      <c r="BJ180">
        <v>268</v>
      </c>
      <c r="BM180" t="b">
        <f t="shared" si="8"/>
        <v>0</v>
      </c>
      <c r="BN180" t="b">
        <f t="shared" si="9"/>
        <v>0</v>
      </c>
      <c r="BP180">
        <v>2700</v>
      </c>
      <c r="BQ180">
        <v>2700</v>
      </c>
      <c r="BS180" t="b">
        <f t="shared" si="10"/>
        <v>1</v>
      </c>
      <c r="BT180" t="b">
        <f t="shared" si="11"/>
        <v>1</v>
      </c>
    </row>
    <row r="181" spans="1:72" x14ac:dyDescent="0.35">
      <c r="A181" t="s">
        <v>420</v>
      </c>
      <c r="B181" t="s">
        <v>421</v>
      </c>
      <c r="C181">
        <v>279505</v>
      </c>
      <c r="E181">
        <v>279505</v>
      </c>
      <c r="F181">
        <v>17935</v>
      </c>
      <c r="G181">
        <v>17935</v>
      </c>
      <c r="H181">
        <v>17935</v>
      </c>
      <c r="I181">
        <v>3420832313</v>
      </c>
      <c r="K181">
        <v>3420832313</v>
      </c>
      <c r="L181">
        <v>3174556618</v>
      </c>
      <c r="M181">
        <v>3174556618</v>
      </c>
      <c r="N181">
        <v>3174556618</v>
      </c>
      <c r="R181">
        <v>10832853</v>
      </c>
      <c r="S181">
        <v>10832853</v>
      </c>
      <c r="T181">
        <v>10832853</v>
      </c>
      <c r="U181">
        <v>1117948</v>
      </c>
      <c r="V181">
        <v>1117948</v>
      </c>
      <c r="W181">
        <v>1117948</v>
      </c>
      <c r="AA181">
        <v>1535598</v>
      </c>
      <c r="AB181">
        <v>1535598</v>
      </c>
      <c r="AC181">
        <v>1535598</v>
      </c>
      <c r="AD181">
        <v>311739</v>
      </c>
      <c r="AE181">
        <v>311739</v>
      </c>
      <c r="AF181">
        <v>311739</v>
      </c>
      <c r="AM181">
        <v>302753</v>
      </c>
      <c r="AN181">
        <v>302753</v>
      </c>
      <c r="AO181">
        <v>302753</v>
      </c>
      <c r="AP181">
        <v>9183894</v>
      </c>
      <c r="AQ181">
        <v>9183894</v>
      </c>
      <c r="AR181">
        <v>9183894</v>
      </c>
      <c r="AS181">
        <v>54968</v>
      </c>
      <c r="AT181">
        <v>54968</v>
      </c>
      <c r="AU181">
        <v>54968</v>
      </c>
      <c r="BH181">
        <v>8920170</v>
      </c>
      <c r="BI181">
        <v>8920170</v>
      </c>
      <c r="BJ181">
        <v>8920170</v>
      </c>
      <c r="BK181">
        <v>0</v>
      </c>
      <c r="BL181">
        <v>2217634</v>
      </c>
      <c r="BM181" t="b">
        <f t="shared" si="8"/>
        <v>1</v>
      </c>
      <c r="BN181" t="b">
        <f t="shared" si="9"/>
        <v>1</v>
      </c>
      <c r="BO181">
        <v>5783690</v>
      </c>
      <c r="BP181">
        <v>5783690</v>
      </c>
      <c r="BQ181">
        <v>5783690</v>
      </c>
      <c r="BR181">
        <v>0</v>
      </c>
      <c r="BS181" t="b">
        <f t="shared" si="10"/>
        <v>1</v>
      </c>
      <c r="BT181" t="b">
        <f t="shared" si="11"/>
        <v>1</v>
      </c>
    </row>
    <row r="182" spans="1:72" x14ac:dyDescent="0.35">
      <c r="A182" t="s">
        <v>422</v>
      </c>
      <c r="B182" t="s">
        <v>423</v>
      </c>
      <c r="D182">
        <v>350</v>
      </c>
      <c r="E182">
        <v>350</v>
      </c>
      <c r="G182">
        <v>52</v>
      </c>
      <c r="H182">
        <v>52</v>
      </c>
      <c r="J182">
        <v>906448</v>
      </c>
      <c r="K182">
        <v>906448</v>
      </c>
      <c r="M182">
        <v>850919</v>
      </c>
      <c r="N182">
        <v>850919</v>
      </c>
      <c r="P182">
        <v>6496</v>
      </c>
      <c r="Q182">
        <v>6496</v>
      </c>
      <c r="S182">
        <v>5514</v>
      </c>
      <c r="T182">
        <v>5514</v>
      </c>
      <c r="AB182">
        <v>945</v>
      </c>
      <c r="AC182">
        <v>945</v>
      </c>
      <c r="AE182">
        <v>8397</v>
      </c>
      <c r="AF182">
        <v>8397</v>
      </c>
      <c r="AH182">
        <v>165</v>
      </c>
      <c r="AI182">
        <v>165</v>
      </c>
      <c r="AN182">
        <v>861</v>
      </c>
      <c r="AO182">
        <v>861</v>
      </c>
      <c r="AT182">
        <v>1854</v>
      </c>
      <c r="AU182">
        <v>1854</v>
      </c>
      <c r="AW182">
        <v>34650</v>
      </c>
      <c r="AX182">
        <v>34650</v>
      </c>
      <c r="AZ182">
        <v>6496</v>
      </c>
      <c r="BA182">
        <v>6496</v>
      </c>
      <c r="BC182">
        <v>50</v>
      </c>
      <c r="BD182">
        <v>50</v>
      </c>
      <c r="BF182">
        <v>34</v>
      </c>
      <c r="BG182">
        <v>34</v>
      </c>
      <c r="BI182">
        <v>30</v>
      </c>
      <c r="BJ182">
        <v>30</v>
      </c>
      <c r="BM182" t="b">
        <f t="shared" si="8"/>
        <v>0</v>
      </c>
      <c r="BN182" t="b">
        <f t="shared" si="9"/>
        <v>0</v>
      </c>
      <c r="BP182">
        <v>30</v>
      </c>
      <c r="BQ182">
        <v>30</v>
      </c>
      <c r="BS182" t="b">
        <f t="shared" si="10"/>
        <v>1</v>
      </c>
      <c r="BT182" t="b">
        <f t="shared" si="11"/>
        <v>1</v>
      </c>
    </row>
    <row r="183" spans="1:72" x14ac:dyDescent="0.35">
      <c r="A183" t="s">
        <v>424</v>
      </c>
      <c r="B183" t="s">
        <v>425</v>
      </c>
      <c r="C183">
        <v>45230</v>
      </c>
      <c r="D183">
        <v>45230</v>
      </c>
      <c r="E183">
        <v>45230</v>
      </c>
      <c r="F183">
        <v>645</v>
      </c>
      <c r="G183">
        <v>645</v>
      </c>
      <c r="H183">
        <v>645</v>
      </c>
      <c r="I183">
        <v>724808</v>
      </c>
      <c r="J183">
        <v>724808</v>
      </c>
      <c r="K183">
        <v>724808</v>
      </c>
      <c r="L183">
        <v>712513</v>
      </c>
      <c r="M183">
        <v>712513</v>
      </c>
      <c r="N183">
        <v>712513</v>
      </c>
      <c r="O183">
        <v>25746</v>
      </c>
      <c r="P183">
        <v>25746</v>
      </c>
      <c r="Q183">
        <v>25746</v>
      </c>
      <c r="U183">
        <v>41675</v>
      </c>
      <c r="V183">
        <v>41675</v>
      </c>
      <c r="W183">
        <v>41675</v>
      </c>
      <c r="AD183">
        <v>17000</v>
      </c>
      <c r="AF183">
        <v>17000</v>
      </c>
      <c r="AG183">
        <v>1300</v>
      </c>
      <c r="AI183">
        <v>1300</v>
      </c>
      <c r="AM183">
        <v>11831</v>
      </c>
      <c r="AO183">
        <v>11831</v>
      </c>
      <c r="AP183">
        <v>538040</v>
      </c>
      <c r="AQ183">
        <v>538040</v>
      </c>
      <c r="AR183">
        <v>538040</v>
      </c>
      <c r="AS183">
        <v>53804</v>
      </c>
      <c r="AU183">
        <v>53804</v>
      </c>
      <c r="AV183">
        <v>0</v>
      </c>
      <c r="AX183">
        <v>0</v>
      </c>
      <c r="AY183">
        <v>21300</v>
      </c>
      <c r="AZ183">
        <v>21300</v>
      </c>
      <c r="BA183">
        <v>21300</v>
      </c>
      <c r="BB183">
        <v>0</v>
      </c>
      <c r="BD183">
        <v>0</v>
      </c>
      <c r="BE183">
        <v>43000</v>
      </c>
      <c r="BF183">
        <v>43000</v>
      </c>
      <c r="BG183">
        <v>43000</v>
      </c>
      <c r="BH183">
        <v>41610</v>
      </c>
      <c r="BJ183">
        <v>41610</v>
      </c>
      <c r="BK183">
        <v>1</v>
      </c>
      <c r="BM183" t="b">
        <f t="shared" si="8"/>
        <v>0</v>
      </c>
      <c r="BN183" t="b">
        <f t="shared" si="9"/>
        <v>1</v>
      </c>
      <c r="BO183">
        <v>17986</v>
      </c>
      <c r="BP183">
        <v>17986</v>
      </c>
      <c r="BQ183">
        <v>17986</v>
      </c>
      <c r="BR183">
        <v>0</v>
      </c>
      <c r="BS183" t="b">
        <f t="shared" si="10"/>
        <v>1</v>
      </c>
      <c r="BT183" t="b">
        <f t="shared" si="11"/>
        <v>1</v>
      </c>
    </row>
    <row r="184" spans="1:72" x14ac:dyDescent="0.35">
      <c r="A184" t="s">
        <v>426</v>
      </c>
      <c r="B184" t="s">
        <v>427</v>
      </c>
      <c r="D184">
        <v>200</v>
      </c>
      <c r="E184">
        <v>200</v>
      </c>
      <c r="G184">
        <v>7</v>
      </c>
      <c r="H184">
        <v>7</v>
      </c>
      <c r="J184">
        <v>69790</v>
      </c>
      <c r="K184">
        <v>69790</v>
      </c>
      <c r="M184">
        <v>73373</v>
      </c>
      <c r="N184">
        <v>73373</v>
      </c>
      <c r="P184">
        <v>581</v>
      </c>
      <c r="Q184">
        <v>581</v>
      </c>
      <c r="S184">
        <v>295</v>
      </c>
      <c r="T184">
        <v>295</v>
      </c>
      <c r="AE184">
        <v>315</v>
      </c>
      <c r="AF184">
        <v>315</v>
      </c>
      <c r="AN184">
        <v>7</v>
      </c>
      <c r="AO184">
        <v>7</v>
      </c>
      <c r="AQ184">
        <v>1217</v>
      </c>
      <c r="AR184">
        <v>1217</v>
      </c>
      <c r="AT184">
        <v>48</v>
      </c>
      <c r="AU184">
        <v>48</v>
      </c>
      <c r="AZ184">
        <v>21</v>
      </c>
      <c r="BA184">
        <v>21</v>
      </c>
      <c r="BF184">
        <v>41</v>
      </c>
      <c r="BG184">
        <v>41</v>
      </c>
      <c r="BI184">
        <v>300</v>
      </c>
      <c r="BJ184">
        <v>300</v>
      </c>
      <c r="BM184" t="b">
        <f t="shared" si="8"/>
        <v>0</v>
      </c>
      <c r="BN184" t="b">
        <f t="shared" si="9"/>
        <v>0</v>
      </c>
      <c r="BP184">
        <v>621</v>
      </c>
      <c r="BQ184">
        <v>621</v>
      </c>
      <c r="BS184" t="b">
        <f t="shared" si="10"/>
        <v>1</v>
      </c>
      <c r="BT184" t="b">
        <f t="shared" si="11"/>
        <v>1</v>
      </c>
    </row>
    <row r="185" spans="1:72" x14ac:dyDescent="0.35">
      <c r="A185" t="s">
        <v>428</v>
      </c>
      <c r="B185" t="s">
        <v>429</v>
      </c>
      <c r="D185">
        <v>3322</v>
      </c>
      <c r="E185">
        <v>3322</v>
      </c>
      <c r="G185">
        <v>677</v>
      </c>
      <c r="H185">
        <v>677</v>
      </c>
      <c r="J185">
        <v>2274544</v>
      </c>
      <c r="K185">
        <v>2274544</v>
      </c>
      <c r="M185">
        <v>2208487</v>
      </c>
      <c r="N185">
        <v>2208487</v>
      </c>
      <c r="V185">
        <v>16202</v>
      </c>
      <c r="W185">
        <v>16202</v>
      </c>
      <c r="AB185">
        <v>2000</v>
      </c>
      <c r="AC185">
        <v>2000</v>
      </c>
      <c r="AE185">
        <v>1950</v>
      </c>
      <c r="AF185">
        <v>1950</v>
      </c>
      <c r="AQ185">
        <v>688746</v>
      </c>
      <c r="AR185">
        <v>688746</v>
      </c>
      <c r="AT185">
        <v>66690</v>
      </c>
      <c r="AU185">
        <v>66690</v>
      </c>
      <c r="AZ185">
        <v>86476</v>
      </c>
      <c r="BA185">
        <v>86476</v>
      </c>
      <c r="BF185">
        <v>235</v>
      </c>
      <c r="BG185">
        <v>235</v>
      </c>
      <c r="BM185" t="b">
        <f t="shared" si="8"/>
        <v>0</v>
      </c>
      <c r="BN185" t="b">
        <f t="shared" si="9"/>
        <v>0</v>
      </c>
      <c r="BP185">
        <v>69</v>
      </c>
      <c r="BQ185">
        <v>69</v>
      </c>
      <c r="BS185" t="b">
        <f t="shared" si="10"/>
        <v>1</v>
      </c>
      <c r="BT185" t="b">
        <f t="shared" si="11"/>
        <v>1</v>
      </c>
    </row>
    <row r="186" spans="1:72" x14ac:dyDescent="0.35">
      <c r="A186" t="s">
        <v>430</v>
      </c>
      <c r="B186" t="s">
        <v>431</v>
      </c>
      <c r="D186">
        <v>421220</v>
      </c>
      <c r="E186">
        <v>421220</v>
      </c>
      <c r="G186">
        <v>17024</v>
      </c>
      <c r="H186">
        <v>17024</v>
      </c>
      <c r="J186">
        <v>3610157</v>
      </c>
      <c r="K186">
        <v>3610157</v>
      </c>
      <c r="M186">
        <v>778377</v>
      </c>
      <c r="N186">
        <v>778377</v>
      </c>
      <c r="P186">
        <v>8880</v>
      </c>
      <c r="Q186">
        <v>8880</v>
      </c>
      <c r="S186">
        <v>4290062</v>
      </c>
      <c r="T186">
        <v>4290062</v>
      </c>
      <c r="V186">
        <v>9343</v>
      </c>
      <c r="W186">
        <v>9343</v>
      </c>
      <c r="AB186">
        <v>8277</v>
      </c>
      <c r="AC186">
        <v>8277</v>
      </c>
      <c r="AE186">
        <v>1915</v>
      </c>
      <c r="AF186">
        <v>1915</v>
      </c>
      <c r="AN186">
        <v>6891443</v>
      </c>
      <c r="AO186">
        <v>6891443</v>
      </c>
      <c r="AQ186">
        <v>4202300</v>
      </c>
      <c r="AR186">
        <v>4202300</v>
      </c>
      <c r="AZ186">
        <v>11897</v>
      </c>
      <c r="BA186">
        <v>11897</v>
      </c>
      <c r="BI186">
        <v>11818</v>
      </c>
      <c r="BJ186">
        <v>11818</v>
      </c>
      <c r="BM186" t="b">
        <f t="shared" si="8"/>
        <v>0</v>
      </c>
      <c r="BN186" t="b">
        <f t="shared" si="9"/>
        <v>0</v>
      </c>
      <c r="BP186">
        <v>6873</v>
      </c>
      <c r="BQ186">
        <v>6873</v>
      </c>
      <c r="BS186" t="b">
        <f t="shared" si="10"/>
        <v>1</v>
      </c>
      <c r="BT186" t="b">
        <f t="shared" si="11"/>
        <v>1</v>
      </c>
    </row>
    <row r="187" spans="1:72" x14ac:dyDescent="0.35">
      <c r="A187" t="s">
        <v>432</v>
      </c>
      <c r="B187" t="s">
        <v>433</v>
      </c>
      <c r="D187">
        <v>500</v>
      </c>
      <c r="E187">
        <v>500</v>
      </c>
      <c r="G187">
        <v>38</v>
      </c>
      <c r="H187">
        <v>38</v>
      </c>
      <c r="BM187" t="b">
        <f t="shared" si="8"/>
        <v>0</v>
      </c>
      <c r="BN187" t="b">
        <f t="shared" si="9"/>
        <v>0</v>
      </c>
      <c r="BP187">
        <v>17</v>
      </c>
      <c r="BQ187">
        <v>17</v>
      </c>
      <c r="BS187" t="b">
        <f t="shared" si="10"/>
        <v>1</v>
      </c>
      <c r="BT187" t="b">
        <f t="shared" si="11"/>
        <v>1</v>
      </c>
    </row>
    <row r="188" spans="1:72" x14ac:dyDescent="0.35">
      <c r="A188" t="s">
        <v>434</v>
      </c>
      <c r="B188" t="s">
        <v>435</v>
      </c>
      <c r="D188">
        <v>5180</v>
      </c>
      <c r="E188">
        <v>5180</v>
      </c>
      <c r="G188">
        <v>15</v>
      </c>
      <c r="H188">
        <v>15</v>
      </c>
      <c r="J188">
        <v>201309</v>
      </c>
      <c r="K188">
        <v>201309</v>
      </c>
      <c r="M188">
        <v>254679</v>
      </c>
      <c r="N188">
        <v>254679</v>
      </c>
      <c r="P188">
        <v>57515</v>
      </c>
      <c r="Q188">
        <v>57515</v>
      </c>
      <c r="S188">
        <v>120678</v>
      </c>
      <c r="T188">
        <v>120678</v>
      </c>
      <c r="V188">
        <v>141744</v>
      </c>
      <c r="W188">
        <v>141744</v>
      </c>
      <c r="AB188">
        <v>71712</v>
      </c>
      <c r="AC188">
        <v>71712</v>
      </c>
      <c r="AE188">
        <v>71130</v>
      </c>
      <c r="AF188">
        <v>71130</v>
      </c>
      <c r="AH188">
        <v>103534</v>
      </c>
      <c r="AI188">
        <v>103534</v>
      </c>
      <c r="AK188">
        <v>87251</v>
      </c>
      <c r="AL188">
        <v>87251</v>
      </c>
      <c r="AQ188">
        <v>118104</v>
      </c>
      <c r="AR188">
        <v>118104</v>
      </c>
      <c r="AT188">
        <v>19599</v>
      </c>
      <c r="AU188">
        <v>19599</v>
      </c>
      <c r="AW188">
        <v>60918</v>
      </c>
      <c r="AX188">
        <v>60918</v>
      </c>
      <c r="AZ188">
        <v>63013</v>
      </c>
      <c r="BA188">
        <v>63013</v>
      </c>
      <c r="BC188">
        <v>4113</v>
      </c>
      <c r="BD188">
        <v>4113</v>
      </c>
      <c r="BF188">
        <v>68216</v>
      </c>
      <c r="BG188">
        <v>68216</v>
      </c>
      <c r="BI188">
        <v>39066</v>
      </c>
      <c r="BJ188">
        <v>39066</v>
      </c>
      <c r="BM188" t="b">
        <f t="shared" si="8"/>
        <v>0</v>
      </c>
      <c r="BN188" t="b">
        <f t="shared" si="9"/>
        <v>0</v>
      </c>
      <c r="BP188">
        <v>8502</v>
      </c>
      <c r="BQ188">
        <v>8502</v>
      </c>
      <c r="BS188" t="b">
        <f t="shared" si="10"/>
        <v>1</v>
      </c>
      <c r="BT188" t="b">
        <f t="shared" si="11"/>
        <v>1</v>
      </c>
    </row>
    <row r="189" spans="1:72" x14ac:dyDescent="0.35">
      <c r="A189" t="s">
        <v>436</v>
      </c>
      <c r="B189" t="s">
        <v>437</v>
      </c>
      <c r="C189">
        <v>6754</v>
      </c>
      <c r="D189">
        <v>6754</v>
      </c>
      <c r="E189">
        <v>6754</v>
      </c>
      <c r="F189">
        <v>718</v>
      </c>
      <c r="G189">
        <v>718</v>
      </c>
      <c r="H189">
        <v>718</v>
      </c>
      <c r="I189">
        <v>4568027</v>
      </c>
      <c r="J189">
        <v>4568027</v>
      </c>
      <c r="K189">
        <v>4568027</v>
      </c>
      <c r="L189">
        <v>3108400</v>
      </c>
      <c r="M189">
        <v>3108400</v>
      </c>
      <c r="N189">
        <v>3108400</v>
      </c>
      <c r="O189">
        <v>3732457</v>
      </c>
      <c r="P189">
        <v>3732457</v>
      </c>
      <c r="Q189">
        <v>3732457</v>
      </c>
      <c r="R189">
        <v>2009227</v>
      </c>
      <c r="T189">
        <v>2009227</v>
      </c>
      <c r="U189">
        <v>716950</v>
      </c>
      <c r="V189">
        <v>716950</v>
      </c>
      <c r="W189">
        <v>716950</v>
      </c>
      <c r="AA189">
        <v>201663</v>
      </c>
      <c r="AB189">
        <v>201663</v>
      </c>
      <c r="AC189">
        <v>201663</v>
      </c>
      <c r="AD189">
        <v>620491</v>
      </c>
      <c r="AE189">
        <v>620491</v>
      </c>
      <c r="AF189">
        <v>620491</v>
      </c>
      <c r="AG189">
        <v>324</v>
      </c>
      <c r="AI189">
        <v>324</v>
      </c>
      <c r="AM189">
        <v>175122</v>
      </c>
      <c r="AO189">
        <v>175122</v>
      </c>
      <c r="AP189">
        <v>3329056</v>
      </c>
      <c r="AQ189">
        <v>3329056</v>
      </c>
      <c r="AR189">
        <v>3329056</v>
      </c>
      <c r="AS189">
        <v>10600</v>
      </c>
      <c r="AU189">
        <v>10600</v>
      </c>
      <c r="AV189">
        <v>33692</v>
      </c>
      <c r="AW189">
        <v>33692</v>
      </c>
      <c r="AX189">
        <v>33692</v>
      </c>
      <c r="AY189">
        <v>442850</v>
      </c>
      <c r="AZ189">
        <v>442850</v>
      </c>
      <c r="BA189">
        <v>442850</v>
      </c>
      <c r="BB189">
        <v>438836</v>
      </c>
      <c r="BD189">
        <v>438836</v>
      </c>
      <c r="BE189">
        <v>2742</v>
      </c>
      <c r="BF189">
        <v>2742</v>
      </c>
      <c r="BG189">
        <v>2742</v>
      </c>
      <c r="BH189">
        <v>18500</v>
      </c>
      <c r="BJ189">
        <v>18500</v>
      </c>
      <c r="BK189">
        <v>0</v>
      </c>
      <c r="BL189">
        <v>0</v>
      </c>
      <c r="BM189" t="b">
        <f t="shared" si="8"/>
        <v>0</v>
      </c>
      <c r="BN189" t="b">
        <f t="shared" si="9"/>
        <v>0</v>
      </c>
      <c r="BO189">
        <v>3954</v>
      </c>
      <c r="BP189">
        <v>3954</v>
      </c>
      <c r="BQ189">
        <v>3954</v>
      </c>
      <c r="BR189">
        <v>0</v>
      </c>
      <c r="BS189" t="b">
        <f t="shared" si="10"/>
        <v>1</v>
      </c>
      <c r="BT189" t="b">
        <f t="shared" si="11"/>
        <v>1</v>
      </c>
    </row>
    <row r="190" spans="1:72" x14ac:dyDescent="0.35">
      <c r="A190" t="s">
        <v>438</v>
      </c>
      <c r="B190" t="s">
        <v>439</v>
      </c>
      <c r="D190">
        <v>10700</v>
      </c>
      <c r="E190">
        <v>10700</v>
      </c>
      <c r="G190">
        <v>263</v>
      </c>
      <c r="H190">
        <v>263</v>
      </c>
      <c r="J190">
        <v>3581041</v>
      </c>
      <c r="K190">
        <v>3581041</v>
      </c>
      <c r="M190">
        <v>3542307</v>
      </c>
      <c r="N190">
        <v>3542307</v>
      </c>
      <c r="P190">
        <v>5709</v>
      </c>
      <c r="Q190">
        <v>5709</v>
      </c>
      <c r="S190">
        <v>59370</v>
      </c>
      <c r="T190">
        <v>59370</v>
      </c>
      <c r="V190">
        <v>56542</v>
      </c>
      <c r="W190">
        <v>56542</v>
      </c>
      <c r="AB190">
        <v>2247</v>
      </c>
      <c r="AC190">
        <v>2247</v>
      </c>
      <c r="AE190">
        <v>20797</v>
      </c>
      <c r="AF190">
        <v>20797</v>
      </c>
      <c r="AH190">
        <v>4584848</v>
      </c>
      <c r="AI190">
        <v>4584848</v>
      </c>
      <c r="AK190">
        <v>129916</v>
      </c>
      <c r="AL190">
        <v>129916</v>
      </c>
      <c r="AN190">
        <v>9798</v>
      </c>
      <c r="AO190">
        <v>9798</v>
      </c>
      <c r="AQ190">
        <v>2549040</v>
      </c>
      <c r="AR190">
        <v>2549040</v>
      </c>
      <c r="AT190">
        <v>13557</v>
      </c>
      <c r="AU190">
        <v>13557</v>
      </c>
      <c r="AW190">
        <v>946430</v>
      </c>
      <c r="AX190">
        <v>946430</v>
      </c>
      <c r="AZ190">
        <v>85931</v>
      </c>
      <c r="BA190">
        <v>85931</v>
      </c>
      <c r="BC190">
        <v>49157</v>
      </c>
      <c r="BD190">
        <v>49157</v>
      </c>
      <c r="BF190">
        <v>8378</v>
      </c>
      <c r="BG190">
        <v>8378</v>
      </c>
      <c r="BI190">
        <v>4310</v>
      </c>
      <c r="BJ190">
        <v>4310</v>
      </c>
      <c r="BM190" t="b">
        <f t="shared" si="8"/>
        <v>0</v>
      </c>
      <c r="BN190" t="b">
        <f t="shared" si="9"/>
        <v>0</v>
      </c>
      <c r="BP190">
        <v>4595</v>
      </c>
      <c r="BQ190">
        <v>4595</v>
      </c>
      <c r="BS190" t="b">
        <f t="shared" si="10"/>
        <v>1</v>
      </c>
      <c r="BT190" t="b">
        <f t="shared" si="11"/>
        <v>1</v>
      </c>
    </row>
    <row r="191" spans="1:72" x14ac:dyDescent="0.35">
      <c r="A191" t="s">
        <v>440</v>
      </c>
      <c r="B191" t="s">
        <v>441</v>
      </c>
      <c r="C191">
        <v>8081</v>
      </c>
      <c r="E191">
        <v>8081</v>
      </c>
      <c r="F191">
        <v>114</v>
      </c>
      <c r="G191">
        <v>114</v>
      </c>
      <c r="H191">
        <v>114</v>
      </c>
      <c r="I191">
        <v>5457915</v>
      </c>
      <c r="J191">
        <v>5457915</v>
      </c>
      <c r="K191">
        <v>5457915</v>
      </c>
      <c r="L191">
        <v>5442469</v>
      </c>
      <c r="M191">
        <v>5442469</v>
      </c>
      <c r="N191">
        <v>5442469</v>
      </c>
      <c r="O191">
        <v>16395</v>
      </c>
      <c r="P191">
        <v>16395</v>
      </c>
      <c r="Q191">
        <v>16395</v>
      </c>
      <c r="R191">
        <v>590293</v>
      </c>
      <c r="S191">
        <v>590293</v>
      </c>
      <c r="T191">
        <v>590293</v>
      </c>
      <c r="U191">
        <v>385396</v>
      </c>
      <c r="V191">
        <v>385396</v>
      </c>
      <c r="W191">
        <v>385396</v>
      </c>
      <c r="AA191">
        <v>2000</v>
      </c>
      <c r="AB191">
        <v>2000</v>
      </c>
      <c r="AC191">
        <v>2000</v>
      </c>
      <c r="AD191">
        <v>76370</v>
      </c>
      <c r="AE191">
        <v>76370</v>
      </c>
      <c r="AF191">
        <v>76370</v>
      </c>
      <c r="AG191">
        <v>46895</v>
      </c>
      <c r="AI191">
        <v>46895</v>
      </c>
      <c r="AM191">
        <v>76370</v>
      </c>
      <c r="AN191">
        <v>76370</v>
      </c>
      <c r="AO191">
        <v>76370</v>
      </c>
      <c r="AP191">
        <v>6582850</v>
      </c>
      <c r="AQ191">
        <v>6582850</v>
      </c>
      <c r="AR191">
        <v>6582850</v>
      </c>
      <c r="AS191">
        <v>1818</v>
      </c>
      <c r="AT191">
        <v>1818</v>
      </c>
      <c r="AU191">
        <v>1818</v>
      </c>
      <c r="AV191">
        <v>965000</v>
      </c>
      <c r="AW191">
        <v>965000</v>
      </c>
      <c r="AX191">
        <v>965000</v>
      </c>
      <c r="AY191">
        <v>4938714</v>
      </c>
      <c r="AZ191">
        <v>4938714</v>
      </c>
      <c r="BA191">
        <v>4938714</v>
      </c>
      <c r="BB191">
        <v>65644</v>
      </c>
      <c r="BC191">
        <v>65644</v>
      </c>
      <c r="BD191">
        <v>65644</v>
      </c>
      <c r="BE191">
        <v>69651</v>
      </c>
      <c r="BF191">
        <v>69651</v>
      </c>
      <c r="BG191">
        <v>69651</v>
      </c>
      <c r="BK191">
        <v>1</v>
      </c>
      <c r="BM191" t="b">
        <f t="shared" si="8"/>
        <v>0</v>
      </c>
      <c r="BN191" t="b">
        <f t="shared" si="9"/>
        <v>1</v>
      </c>
      <c r="BO191">
        <v>2211</v>
      </c>
      <c r="BP191">
        <v>2211</v>
      </c>
      <c r="BQ191">
        <v>2211</v>
      </c>
      <c r="BR191">
        <v>0</v>
      </c>
      <c r="BS191" t="b">
        <f t="shared" si="10"/>
        <v>1</v>
      </c>
      <c r="BT191" t="b">
        <f t="shared" si="11"/>
        <v>1</v>
      </c>
    </row>
    <row r="192" spans="1:72" x14ac:dyDescent="0.35">
      <c r="A192" t="s">
        <v>442</v>
      </c>
      <c r="B192" t="s">
        <v>443</v>
      </c>
      <c r="C192">
        <v>2625</v>
      </c>
      <c r="D192">
        <v>2625</v>
      </c>
      <c r="E192">
        <v>2625</v>
      </c>
      <c r="F192">
        <v>168</v>
      </c>
      <c r="G192">
        <v>168</v>
      </c>
      <c r="H192">
        <v>168</v>
      </c>
      <c r="I192">
        <v>7693411</v>
      </c>
      <c r="J192">
        <v>7693411</v>
      </c>
      <c r="K192">
        <v>7693411</v>
      </c>
      <c r="L192">
        <v>7496749</v>
      </c>
      <c r="M192">
        <v>7496749</v>
      </c>
      <c r="N192">
        <v>7496749</v>
      </c>
      <c r="O192">
        <v>1157116</v>
      </c>
      <c r="P192">
        <v>1157116</v>
      </c>
      <c r="Q192">
        <v>1157116</v>
      </c>
      <c r="R192">
        <v>745742</v>
      </c>
      <c r="S192">
        <v>745742</v>
      </c>
      <c r="T192">
        <v>745742</v>
      </c>
      <c r="U192">
        <v>4407</v>
      </c>
      <c r="V192">
        <v>4407</v>
      </c>
      <c r="W192">
        <v>4407</v>
      </c>
      <c r="AA192">
        <v>50</v>
      </c>
      <c r="AB192">
        <v>50</v>
      </c>
      <c r="AC192">
        <v>50</v>
      </c>
      <c r="AD192">
        <v>4800</v>
      </c>
      <c r="AE192">
        <v>4800</v>
      </c>
      <c r="AF192">
        <v>4800</v>
      </c>
      <c r="AG192">
        <v>14688</v>
      </c>
      <c r="AI192">
        <v>14688</v>
      </c>
      <c r="AJ192">
        <v>14688</v>
      </c>
      <c r="AL192">
        <v>14688</v>
      </c>
      <c r="AM192">
        <v>0</v>
      </c>
      <c r="AO192">
        <v>0</v>
      </c>
      <c r="AP192">
        <v>1156839</v>
      </c>
      <c r="AQ192">
        <v>1156839</v>
      </c>
      <c r="AR192">
        <v>1156839</v>
      </c>
      <c r="AS192">
        <v>1200</v>
      </c>
      <c r="AT192">
        <v>1200</v>
      </c>
      <c r="AU192">
        <v>1200</v>
      </c>
      <c r="AV192">
        <v>458304</v>
      </c>
      <c r="AW192">
        <v>458304</v>
      </c>
      <c r="AX192">
        <v>458304</v>
      </c>
      <c r="AY192">
        <v>1217116</v>
      </c>
      <c r="AZ192">
        <v>1217116</v>
      </c>
      <c r="BA192">
        <v>1217116</v>
      </c>
      <c r="BB192">
        <v>15890</v>
      </c>
      <c r="BC192">
        <v>15890</v>
      </c>
      <c r="BD192">
        <v>15890</v>
      </c>
      <c r="BE192">
        <v>1096</v>
      </c>
      <c r="BF192">
        <v>1096</v>
      </c>
      <c r="BG192">
        <v>1096</v>
      </c>
      <c r="BH192">
        <v>2365</v>
      </c>
      <c r="BI192">
        <v>2365</v>
      </c>
      <c r="BJ192">
        <v>2365</v>
      </c>
      <c r="BK192">
        <v>1</v>
      </c>
      <c r="BM192" t="b">
        <f t="shared" si="8"/>
        <v>0</v>
      </c>
      <c r="BN192" t="b">
        <f t="shared" si="9"/>
        <v>1</v>
      </c>
      <c r="BO192">
        <v>18069</v>
      </c>
      <c r="BP192">
        <v>18069</v>
      </c>
      <c r="BQ192">
        <v>18069</v>
      </c>
      <c r="BR192">
        <v>0</v>
      </c>
      <c r="BS192" t="b">
        <f t="shared" si="10"/>
        <v>1</v>
      </c>
      <c r="BT192" t="b">
        <f t="shared" si="11"/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MCASTRO</dc:creator>
  <cp:lastModifiedBy>Marina Castro</cp:lastModifiedBy>
  <dcterms:created xsi:type="dcterms:W3CDTF">2026-06-15T12:02:04Z</dcterms:created>
  <dcterms:modified xsi:type="dcterms:W3CDTF">2026-06-19T10:57:39Z</dcterms:modified>
</cp:coreProperties>
</file>